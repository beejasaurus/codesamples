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8975" windowHeight="11955"/>
  </bookViews>
  <sheets>
    <sheet name="Media Labels" sheetId="2" r:id="rId1"/>
    <sheet name="Reference" sheetId="1" r:id="rId2"/>
    <sheet name="Print Sheet" sheetId="4" r:id="rId3"/>
  </sheets>
  <calcPr calcId="125725"/>
</workbook>
</file>

<file path=xl/calcChain.xml><?xml version="1.0" encoding="utf-8"?>
<calcChain xmlns="http://schemas.openxmlformats.org/spreadsheetml/2006/main">
  <c r="E4" i="2"/>
  <c r="E78"/>
  <c r="F78"/>
  <c r="E79"/>
  <c r="F79"/>
  <c r="J79"/>
  <c r="J78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F4"/>
  <c r="J61"/>
  <c r="J62"/>
  <c r="J63"/>
  <c r="J64"/>
  <c r="J65"/>
  <c r="J66"/>
  <c r="J67"/>
  <c r="J68"/>
  <c r="J69"/>
  <c r="J70"/>
  <c r="J71"/>
  <c r="J72"/>
  <c r="J73"/>
  <c r="J74"/>
  <c r="J75"/>
  <c r="J76"/>
  <c r="J77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5"/>
  <c r="J6"/>
  <c r="J7"/>
  <c r="J8"/>
  <c r="J9"/>
  <c r="J4"/>
  <c r="J1" i="1"/>
  <c r="G6" i="2" s="1"/>
  <c r="I78"/>
  <c r="I79"/>
  <c r="G78"/>
  <c r="G79"/>
  <c r="I77"/>
  <c r="G77"/>
  <c r="I76"/>
  <c r="G76"/>
  <c r="I75"/>
  <c r="G75"/>
  <c r="I74"/>
  <c r="G74"/>
  <c r="I73"/>
  <c r="G73"/>
  <c r="I72"/>
  <c r="G72"/>
  <c r="I71"/>
  <c r="G71"/>
  <c r="I70"/>
  <c r="G70"/>
  <c r="I69"/>
  <c r="G69"/>
  <c r="I68"/>
  <c r="G68"/>
  <c r="I67"/>
  <c r="G67"/>
  <c r="I66"/>
  <c r="G66"/>
  <c r="I65"/>
  <c r="G65"/>
  <c r="I64"/>
  <c r="G64"/>
  <c r="I63"/>
  <c r="G63"/>
  <c r="I62"/>
  <c r="G62"/>
  <c r="I61"/>
  <c r="G61"/>
  <c r="I60"/>
  <c r="G60"/>
  <c r="I59"/>
  <c r="G59"/>
  <c r="I58"/>
  <c r="G58"/>
  <c r="I57"/>
  <c r="G57"/>
  <c r="I56"/>
  <c r="G56"/>
  <c r="I55"/>
  <c r="G55"/>
  <c r="I54"/>
  <c r="G54"/>
  <c r="I53"/>
  <c r="G53"/>
  <c r="I52"/>
  <c r="G52"/>
  <c r="I51"/>
  <c r="G51"/>
  <c r="I50"/>
  <c r="G50"/>
  <c r="I49"/>
  <c r="G49"/>
  <c r="I48"/>
  <c r="G48"/>
  <c r="I47"/>
  <c r="G47"/>
  <c r="I46"/>
  <c r="G46"/>
  <c r="I45"/>
  <c r="G45"/>
  <c r="I44"/>
  <c r="G44"/>
  <c r="I43"/>
  <c r="G43"/>
  <c r="I42"/>
  <c r="G42"/>
  <c r="I41"/>
  <c r="G41"/>
  <c r="I40"/>
  <c r="G40"/>
  <c r="I39"/>
  <c r="G39"/>
  <c r="I38"/>
  <c r="G38"/>
  <c r="I37"/>
  <c r="G37"/>
  <c r="I36"/>
  <c r="G36"/>
  <c r="I35"/>
  <c r="G35"/>
  <c r="I34"/>
  <c r="G34"/>
  <c r="I33"/>
  <c r="G33"/>
  <c r="I32"/>
  <c r="G32"/>
  <c r="I31"/>
  <c r="G31"/>
  <c r="I30"/>
  <c r="G30"/>
  <c r="I29"/>
  <c r="G29"/>
  <c r="I28"/>
  <c r="G28"/>
  <c r="I27"/>
  <c r="G27"/>
  <c r="I26"/>
  <c r="G26"/>
  <c r="I25"/>
  <c r="G25"/>
  <c r="I24"/>
  <c r="G24"/>
  <c r="I23"/>
  <c r="G23"/>
  <c r="I22"/>
  <c r="G22"/>
  <c r="I21"/>
  <c r="G21"/>
  <c r="I20"/>
  <c r="G20"/>
  <c r="I19"/>
  <c r="G19"/>
  <c r="I18"/>
  <c r="G18"/>
  <c r="I17"/>
  <c r="G17"/>
  <c r="G8" l="1"/>
  <c r="G13"/>
  <c r="G16"/>
  <c r="G14"/>
  <c r="I16"/>
  <c r="G12"/>
  <c r="I13"/>
  <c r="I15"/>
  <c r="G15"/>
  <c r="G10"/>
  <c r="I14"/>
  <c r="I12"/>
  <c r="G11"/>
  <c r="I10"/>
  <c r="I11"/>
  <c r="I9"/>
  <c r="I8"/>
  <c r="G9"/>
  <c r="I7"/>
  <c r="G5"/>
  <c r="I6"/>
  <c r="I5"/>
  <c r="I4"/>
  <c r="G7"/>
  <c r="G4"/>
</calcChain>
</file>

<file path=xl/sharedStrings.xml><?xml version="1.0" encoding="utf-8"?>
<sst xmlns="http://schemas.openxmlformats.org/spreadsheetml/2006/main" count="235" uniqueCount="208">
  <si>
    <t>BATCH#</t>
  </si>
  <si>
    <t>Media Type</t>
  </si>
  <si>
    <t>EXPIRATION</t>
  </si>
  <si>
    <t>STORAGE</t>
  </si>
  <si>
    <t>NAME</t>
  </si>
  <si>
    <t>DESIGNATION</t>
  </si>
  <si>
    <t>324K CELL</t>
  </si>
  <si>
    <t>293 CELL</t>
  </si>
  <si>
    <t>DMEM + 10% FBS ΔH + 1% L-Glut + 1% NaPyr + 1% PS + 0.1% F</t>
  </si>
  <si>
    <t>A549 CELL</t>
  </si>
  <si>
    <t>BVDV SEED</t>
  </si>
  <si>
    <t>CV-1 CELL</t>
  </si>
  <si>
    <t>FRhL-4 CELL</t>
  </si>
  <si>
    <t>HIV</t>
  </si>
  <si>
    <t>HSV-1</t>
  </si>
  <si>
    <t>L929 CELL</t>
  </si>
  <si>
    <t>MDBK CELL</t>
  </si>
  <si>
    <t>MDCK CELL</t>
  </si>
  <si>
    <t>PG-4 CELL</t>
  </si>
  <si>
    <t>PI-3 SEED</t>
  </si>
  <si>
    <t>PK-13 CELL</t>
  </si>
  <si>
    <t>PPV 96 WELL</t>
  </si>
  <si>
    <t>PRV SEED</t>
  </si>
  <si>
    <t>VERO CELL</t>
  </si>
  <si>
    <t>WNV SEED</t>
  </si>
  <si>
    <t>EMEM + 10% FOAL + 1% L-Glut + 1% NEAA + 1% PS + 0.1% F</t>
  </si>
  <si>
    <t>EMEM + 2% FOAL + 1% L-Glut + 1% NEAA + 1% PS + 0.1% F</t>
  </si>
  <si>
    <t xml:space="preserve">EMEM + 2% FOAL + 1% PS + 0.1% F </t>
  </si>
  <si>
    <t xml:space="preserve">DMEM + 10% FOAL + 1% L-Glut + 1% PS + 0.1% F </t>
  </si>
  <si>
    <t xml:space="preserve">DMEM F-12 + 10% FOAL + 1%L-Glut </t>
  </si>
  <si>
    <t>HAM'S F-12 + 10% FBS ΔH + 1% L-Glut</t>
  </si>
  <si>
    <t>HAM'S F-12 + 10% FBS ΔH + 1% L-Glut + 1% PS + 0.1% F</t>
  </si>
  <si>
    <t xml:space="preserve">EMEM + 10% FBS NONΔH + 1% L-Glut + 1% NEAA </t>
  </si>
  <si>
    <t xml:space="preserve">EMEM + 10% FBS NONΔH + 1% L-Glut + 1% NEAA + 1% PS + 0.1% F </t>
  </si>
  <si>
    <t>EMEM + 2% FBS ΔH + 1% PS + 0.1% F</t>
  </si>
  <si>
    <t xml:space="preserve">DMEM + 10% FBS NONΔH + 1% L-Glut + 1% PS + 0.1% F </t>
  </si>
  <si>
    <t>EMEM + 10% FBS ΔH + 1% L-Glut + 1% NEAA</t>
  </si>
  <si>
    <t>EMEM + 10% FBS NONΔH + 1%L-Glut + 1% NEAA</t>
  </si>
  <si>
    <t xml:space="preserve">EMEM + 1% FBS NONΔH + 1%L-Glut + 1% NEAA + 1% NaPyr </t>
  </si>
  <si>
    <t>EMEM + 10% FBS NONΔH + 1%L-Glut + 1% NEAA + 1% PS</t>
  </si>
  <si>
    <t>EMEM + 2% FBS ΔH + 1% L-Glut + 1% NEAA + 1% NaPyr + 1% PS + 0.1% F</t>
  </si>
  <si>
    <t>DMEM + 10% FBS ΔH + 1% L-Glut</t>
  </si>
  <si>
    <t>EMEM + 2% FBS NONΔH + 1% L-Glut + 1% NEAA + 1% NaPyr + 1% PS + 0.1% F</t>
  </si>
  <si>
    <t xml:space="preserve">EMEM + 10% FBS ΔH + 1% L-Glut + 1% NEAA + 1% NaPyr </t>
  </si>
  <si>
    <t xml:space="preserve">EMEM + 10% FBS NONΔH + 1% L-Glut + 1% NEAA + 1% NaPyr + 1% PS + 0.1% F </t>
  </si>
  <si>
    <t>BVDV DIL'N</t>
  </si>
  <si>
    <t>DIL'N VIAL FBS</t>
  </si>
  <si>
    <t>DIL'N VIAL FOAL</t>
  </si>
  <si>
    <t>MDBK DIL'N</t>
  </si>
  <si>
    <t>MDCK DIL'N</t>
  </si>
  <si>
    <t>Input</t>
  </si>
  <si>
    <t>Lookup value</t>
  </si>
  <si>
    <t>FBS</t>
  </si>
  <si>
    <t>FOAL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</si>
  <si>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</si>
  <si>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</si>
  <si>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</si>
  <si>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</si>
  <si>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</si>
  <si>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</si>
  <si>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</si>
  <si>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</si>
  <si>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</si>
  <si>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</si>
  <si>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</si>
  <si>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</si>
  <si>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</si>
  <si>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</si>
  <si>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</si>
  <si>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</si>
  <si>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</si>
  <si>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</si>
  <si>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</si>
  <si>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</si>
  <si>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</si>
  <si>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</si>
  <si>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</si>
  <si>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</si>
  <si>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Ref</t>
  </si>
  <si>
    <t>Amt</t>
  </si>
  <si>
    <t>a</t>
  </si>
  <si>
    <t>DY</t>
  </si>
  <si>
    <t>DZ</t>
  </si>
  <si>
    <t>AMT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</si>
  <si>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</si>
  <si>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</si>
  <si>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</si>
  <si>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</si>
  <si>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</si>
  <si>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</si>
  <si>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</si>
  <si>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</si>
  <si>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</si>
  <si>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</si>
  <si>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</si>
  <si>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</si>
  <si>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</si>
  <si>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</si>
  <si>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</si>
  <si>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</si>
  <si>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</si>
  <si>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</si>
  <si>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</si>
  <si>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</si>
  <si>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</si>
  <si>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</si>
  <si>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</si>
  <si>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</si>
  <si>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</si>
  <si>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</si>
  <si>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</si>
  <si>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</si>
  <si>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</si>
  <si>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</si>
  <si>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</si>
  <si>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</si>
  <si>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</si>
  <si>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</si>
  <si>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</si>
  <si>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</si>
  <si>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</si>
  <si>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</si>
  <si>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</si>
  <si>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</si>
  <si>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</si>
  <si>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</si>
  <si>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</si>
  <si>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</si>
  <si>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</si>
  <si>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</si>
  <si>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</si>
  <si>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</si>
  <si>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</si>
  <si>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</si>
  <si>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STORE @ 2-8°C</t>
  </si>
  <si>
    <t>EBTr Cell</t>
  </si>
  <si>
    <t>CVV SEED</t>
  </si>
  <si>
    <t>FE3TG</t>
  </si>
  <si>
    <t xml:space="preserve">DMEM + 5% FBS NONΔH + 2% L-Glut + 1% NEAA </t>
  </si>
  <si>
    <t>DMEM + 5% FBS NONΔH + 2% L-Glut + 1% NEAA + 1% PS + 0.1% F</t>
  </si>
  <si>
    <t>DMEM + 10% FBS ΔH + 1% L-Glut + 1% NaPyr</t>
  </si>
  <si>
    <t>AD-5 SEED</t>
  </si>
  <si>
    <t>MMV SEED</t>
  </si>
  <si>
    <t>AD-2 SEED</t>
  </si>
  <si>
    <t>SV-40 SEED</t>
  </si>
  <si>
    <t>FE3TG CELL</t>
  </si>
  <si>
    <t>EMEM + 10% FBS ΔH</t>
  </si>
  <si>
    <t xml:space="preserve">DMEM + 10% FBS NONΔH + 1% L-Glut  </t>
  </si>
  <si>
    <t>HAV SEED</t>
  </si>
  <si>
    <t xml:space="preserve">RPMI-1640 + 10% FBS NON ΔH + 1% L-Glut + 1% PS  </t>
  </si>
  <si>
    <t xml:space="preserve">EMEM + 5% FBS ΔH + 1% L-Glut + 1% NEAA + 1% PS + 1% NaPyr + 0.1% F  </t>
  </si>
  <si>
    <t>SF-9 CELL</t>
  </si>
  <si>
    <t xml:space="preserve">GRACE'S + 10% FBS ΔH + 9% 4mM L-Glut  </t>
  </si>
  <si>
    <t>SF-9 DIL'N</t>
  </si>
  <si>
    <t>GRACE'S + 2% FBS ΔH + 9% 4mM L-Glut + 1% PS + 0.1 F</t>
  </si>
  <si>
    <t>BacV SEED</t>
  </si>
  <si>
    <t>GRACE'S + 10% FBS ΔH + 9% 4mM L-Glut + 1% PS + 0.1 F</t>
  </si>
  <si>
    <t>Reo-3 SEED</t>
  </si>
  <si>
    <t>EMEM + 2% FBS ΔH + 1% L-Glut + 1% NEAA + 1% NaPyr + 1% PS + 0.1%  F</t>
  </si>
  <si>
    <t>DMEM F-12 + 2% FOAL + 1% PS + 0.1%  F</t>
  </si>
  <si>
    <t>IBR SEED</t>
  </si>
  <si>
    <t>DMEM F-12 + 2% FOAL + 1% L-Glut  + 1% PS + 0.1%  F</t>
  </si>
  <si>
    <t>FluA SEED</t>
  </si>
  <si>
    <t xml:space="preserve">McCoy's 5A + 15% FBS NONΔH + 1%L-Glut  </t>
  </si>
  <si>
    <t>XMuLV SEED</t>
  </si>
  <si>
    <t xml:space="preserve">McCoy's 5A + 5% FBS NONΔH + 1%L-Glut + 1% DMSO + 1%  PS + 0.1% F </t>
  </si>
  <si>
    <t>EBTr CELL/BT cell/BPV</t>
  </si>
  <si>
    <t>293 Cell</t>
  </si>
  <si>
    <t>324K Cell</t>
  </si>
  <si>
    <t>A549 Cell</t>
  </si>
  <si>
    <t>BacV Seed</t>
  </si>
  <si>
    <t>BVDV Dil</t>
  </si>
  <si>
    <t>BVDV Seed</t>
  </si>
  <si>
    <t>CVV Seed</t>
  </si>
  <si>
    <t>FluA Seed</t>
  </si>
  <si>
    <t>FRhL-4 Cell</t>
  </si>
  <si>
    <t>HAV Seed</t>
  </si>
  <si>
    <t>IBR Seed</t>
  </si>
  <si>
    <t>L929 Cell</t>
  </si>
  <si>
    <t>MDBK Cell</t>
  </si>
  <si>
    <t>MDBK Dil</t>
  </si>
  <si>
    <t>MDCK Cell</t>
  </si>
  <si>
    <t>MDCK Dil</t>
  </si>
  <si>
    <t>MMV Seed</t>
  </si>
  <si>
    <t>PG4 Cell</t>
  </si>
  <si>
    <t>PI3 Seed</t>
  </si>
  <si>
    <t>PK13 Cell</t>
  </si>
  <si>
    <t>PPV</t>
  </si>
  <si>
    <t>PRV</t>
  </si>
  <si>
    <t>REO3</t>
  </si>
  <si>
    <t>SF9 Cell</t>
  </si>
  <si>
    <t>SF9 Dil</t>
  </si>
  <si>
    <t>SV40 Seed</t>
  </si>
  <si>
    <t>Vero Cell</t>
  </si>
  <si>
    <t>WNV Seed</t>
  </si>
  <si>
    <t>XMuLV Seed</t>
  </si>
  <si>
    <t>AD2 Seed</t>
  </si>
  <si>
    <t>AD5 Seed</t>
  </si>
  <si>
    <t>CV1 Cell</t>
  </si>
  <si>
    <t>HSV1</t>
  </si>
  <si>
    <t>PK15 Cell</t>
  </si>
  <si>
    <t>PK-15 CELL</t>
  </si>
  <si>
    <t>EMEM+10%FOAL+1%L-Glut+1%NEAA</t>
  </si>
  <si>
    <t>PCV2 Seed</t>
  </si>
  <si>
    <t>PCV-2 SEED</t>
  </si>
  <si>
    <t>EMEM+10%FOAL+1%L-Glut+1%NEAA+1%PS+0.1F</t>
  </si>
  <si>
    <t>031313</t>
  </si>
  <si>
    <t>12 Apr 13</t>
  </si>
</sst>
</file>

<file path=xl/styles.xml><?xml version="1.0" encoding="utf-8"?>
<styleSheet xmlns="http://schemas.openxmlformats.org/spreadsheetml/2006/main">
  <numFmts count="1">
    <numFmt numFmtId="164" formatCode="dd\ mmm\ yy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333333"/>
      <name val="Verdan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2F2F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3" fillId="0" borderId="0" xfId="0" applyNumberFormat="1" applyFont="1"/>
    <xf numFmtId="0" fontId="1" fillId="0" borderId="0" xfId="0" applyFont="1"/>
    <xf numFmtId="0" fontId="0" fillId="0" borderId="0" xfId="0" applyFill="1"/>
    <xf numFmtId="0" fontId="4" fillId="2" borderId="2" xfId="0" applyFont="1" applyFill="1" applyBorder="1"/>
    <xf numFmtId="0" fontId="0" fillId="2" borderId="2" xfId="0" applyFill="1" applyBorder="1"/>
    <xf numFmtId="164" fontId="0" fillId="2" borderId="2" xfId="0" applyNumberFormat="1" applyFill="1" applyBorder="1"/>
    <xf numFmtId="0" fontId="0" fillId="2" borderId="3" xfId="0" applyFill="1" applyBorder="1"/>
    <xf numFmtId="0" fontId="4" fillId="2" borderId="0" xfId="0" applyFont="1" applyFill="1" applyBorder="1"/>
    <xf numFmtId="0" fontId="0" fillId="2" borderId="0" xfId="0" applyFill="1" applyBorder="1"/>
    <xf numFmtId="164" fontId="0" fillId="2" borderId="0" xfId="0" applyNumberFormat="1" applyFill="1" applyBorder="1"/>
    <xf numFmtId="0" fontId="0" fillId="2" borderId="5" xfId="0" applyFill="1" applyBorder="1"/>
    <xf numFmtId="0" fontId="4" fillId="2" borderId="7" xfId="0" applyFont="1" applyFill="1" applyBorder="1"/>
    <xf numFmtId="0" fontId="0" fillId="2" borderId="7" xfId="0" applyFill="1" applyBorder="1"/>
    <xf numFmtId="164" fontId="0" fillId="2" borderId="7" xfId="0" applyNumberFormat="1" applyFill="1" applyBorder="1"/>
    <xf numFmtId="0" fontId="0" fillId="2" borderId="8" xfId="0" applyFill="1" applyBorder="1"/>
    <xf numFmtId="0" fontId="4" fillId="2" borderId="1" xfId="0" applyFont="1" applyFill="1" applyBorder="1"/>
    <xf numFmtId="0" fontId="4" fillId="2" borderId="4" xfId="0" applyFont="1" applyFill="1" applyBorder="1"/>
    <xf numFmtId="0" fontId="4" fillId="2" borderId="6" xfId="0" applyFont="1" applyFill="1" applyBorder="1"/>
    <xf numFmtId="0" fontId="0" fillId="2" borderId="1" xfId="0" applyFill="1" applyBorder="1"/>
    <xf numFmtId="0" fontId="0" fillId="2" borderId="4" xfId="0" applyFill="1" applyBorder="1"/>
    <xf numFmtId="0" fontId="0" fillId="2" borderId="0" xfId="0" applyFill="1"/>
    <xf numFmtId="0" fontId="1" fillId="3" borderId="7" xfId="0" applyFont="1" applyFill="1" applyBorder="1"/>
    <xf numFmtId="0" fontId="1" fillId="3" borderId="0" xfId="0" applyFont="1" applyFill="1" applyBorder="1"/>
    <xf numFmtId="0" fontId="1" fillId="3" borderId="5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0" xfId="0" applyFill="1" applyBorder="1"/>
    <xf numFmtId="0" fontId="2" fillId="2" borderId="4" xfId="0" applyFont="1" applyFill="1" applyBorder="1"/>
    <xf numFmtId="0" fontId="0" fillId="0" borderId="7" xfId="0" applyFill="1" applyBorder="1"/>
    <xf numFmtId="0" fontId="0" fillId="0" borderId="11" xfId="0" applyBorder="1"/>
    <xf numFmtId="0" fontId="0" fillId="0" borderId="12" xfId="0" applyBorder="1"/>
    <xf numFmtId="0" fontId="0" fillId="2" borderId="6" xfId="0" applyFill="1" applyBorder="1"/>
    <xf numFmtId="0" fontId="0" fillId="0" borderId="9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0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7" xfId="0" applyFill="1" applyBorder="1" applyProtection="1">
      <protection locked="0"/>
    </xf>
    <xf numFmtId="0" fontId="0" fillId="0" borderId="13" xfId="0" applyFill="1" applyBorder="1" applyProtection="1">
      <protection locked="0"/>
    </xf>
    <xf numFmtId="0" fontId="0" fillId="0" borderId="6" xfId="0" applyBorder="1" applyProtection="1">
      <protection locked="0"/>
    </xf>
    <xf numFmtId="0" fontId="1" fillId="3" borderId="6" xfId="0" applyFont="1" applyFill="1" applyBorder="1"/>
    <xf numFmtId="0" fontId="1" fillId="3" borderId="8" xfId="0" applyFont="1" applyFill="1" applyBorder="1"/>
    <xf numFmtId="0" fontId="1" fillId="4" borderId="15" xfId="0" applyFont="1" applyFill="1" applyBorder="1"/>
    <xf numFmtId="0" fontId="5" fillId="5" borderId="15" xfId="0" applyFont="1" applyFill="1" applyBorder="1"/>
    <xf numFmtId="0" fontId="5" fillId="5" borderId="16" xfId="0" applyFont="1" applyFill="1" applyBorder="1"/>
    <xf numFmtId="0" fontId="3" fillId="6" borderId="4" xfId="0" applyFont="1" applyFill="1" applyBorder="1"/>
    <xf numFmtId="0" fontId="3" fillId="6" borderId="5" xfId="0" applyFont="1" applyFill="1" applyBorder="1"/>
    <xf numFmtId="0" fontId="0" fillId="0" borderId="6" xfId="0" applyBorder="1"/>
    <xf numFmtId="0" fontId="0" fillId="6" borderId="8" xfId="0" applyFill="1" applyBorder="1"/>
    <xf numFmtId="0" fontId="6" fillId="6" borderId="4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295"/>
  <sheetViews>
    <sheetView tabSelected="1" workbookViewId="0">
      <selection activeCell="C8" sqref="C8"/>
    </sheetView>
  </sheetViews>
  <sheetFormatPr defaultRowHeight="15"/>
  <cols>
    <col min="1" max="1" width="4.85546875" customWidth="1"/>
    <col min="2" max="2" width="14" customWidth="1"/>
    <col min="3" max="3" width="4.42578125" customWidth="1"/>
    <col min="4" max="4" width="4.85546875" style="5" hidden="1" customWidth="1"/>
    <col min="5" max="5" width="22.42578125" bestFit="1" customWidth="1"/>
    <col min="6" max="6" width="81.7109375" bestFit="1" customWidth="1"/>
    <col min="7" max="7" width="7.85546875" bestFit="1" customWidth="1"/>
    <col min="8" max="8" width="13.5703125" bestFit="1" customWidth="1"/>
    <col min="9" max="9" width="11.7109375" bestFit="1" customWidth="1"/>
    <col min="10" max="10" width="14" bestFit="1" customWidth="1"/>
  </cols>
  <sheetData>
    <row r="1" spans="1:10">
      <c r="A1" s="27"/>
      <c r="B1" s="27"/>
      <c r="C1" s="27"/>
      <c r="D1" s="27"/>
      <c r="E1" s="27"/>
      <c r="F1" s="27"/>
      <c r="G1" s="27"/>
      <c r="H1" s="27"/>
      <c r="I1" s="27"/>
      <c r="J1" s="28"/>
    </row>
    <row r="2" spans="1:10">
      <c r="A2" s="27"/>
      <c r="B2" s="27"/>
      <c r="C2" s="27"/>
      <c r="D2" s="27"/>
      <c r="E2" s="27"/>
      <c r="F2" s="27"/>
      <c r="G2" s="27"/>
      <c r="H2" s="27"/>
      <c r="I2" s="27"/>
      <c r="J2" s="28"/>
    </row>
    <row r="3" spans="1:10" ht="15.75" thickBot="1">
      <c r="A3" s="24" t="s">
        <v>78</v>
      </c>
      <c r="B3" s="24" t="s">
        <v>50</v>
      </c>
      <c r="C3" s="25" t="s">
        <v>79</v>
      </c>
      <c r="D3" s="25"/>
      <c r="E3" s="25" t="s">
        <v>4</v>
      </c>
      <c r="F3" s="25" t="s">
        <v>1</v>
      </c>
      <c r="G3" s="25" t="s">
        <v>0</v>
      </c>
      <c r="H3" s="25" t="s">
        <v>5</v>
      </c>
      <c r="I3" s="25" t="s">
        <v>2</v>
      </c>
      <c r="J3" s="26" t="s">
        <v>3</v>
      </c>
    </row>
    <row r="4" spans="1:10">
      <c r="A4" s="23" t="s">
        <v>54</v>
      </c>
      <c r="B4" s="36"/>
      <c r="C4" s="35"/>
      <c r="D4" s="21"/>
      <c r="E4" s="18" t="str">
        <f>IF(ISBLANK($B4),"",VLOOKUP($B4,Reference!$A$2:'Reference'!$C$44,2,TRUE))</f>
        <v/>
      </c>
      <c r="F4" s="6" t="str">
        <f>IF(ISBLANK($B4),"",VLOOKUP($B4,Reference!$A$2:'Reference'!$C$44,3,TRUE))</f>
        <v/>
      </c>
      <c r="G4" s="7" t="str">
        <f>IF(ISBLANK($B4),"",TEXT(Reference!$J$1,"mmddyy"))</f>
        <v/>
      </c>
      <c r="H4" s="7" t="str">
        <f>IF(ISBLANK($B4),"",CHAR(ROW(D67)))</f>
        <v/>
      </c>
      <c r="I4" s="8" t="str">
        <f>IF(ISBLANK($B4),"",TEXT(Reference!$J$1+30,"DD MMM YY"))</f>
        <v/>
      </c>
      <c r="J4" s="9" t="str">
        <f>IF(ISBLANK($B4),"","STORE @ 2-8°C")</f>
        <v/>
      </c>
    </row>
    <row r="5" spans="1:10">
      <c r="A5" s="23" t="s">
        <v>55</v>
      </c>
      <c r="B5" s="36"/>
      <c r="C5" s="37"/>
      <c r="D5" s="22"/>
      <c r="E5" s="19" t="str">
        <f>IF(ISBLANK($B5),"",VLOOKUP($B5,Reference!$A$2:'Reference'!$C$44,2,TRUE))</f>
        <v/>
      </c>
      <c r="F5" s="10" t="str">
        <f>IF(ISBLANK($B5),"",VLOOKUP($B5,Reference!$A$2:'Reference'!$C$44,3,TRUE))</f>
        <v/>
      </c>
      <c r="G5" s="11" t="str">
        <f>IF(ISBLANK($B5),"",TEXT(Reference!$J$1,"mmddyy"))</f>
        <v/>
      </c>
      <c r="H5" s="11" t="str">
        <f t="shared" ref="H5:H27" si="0">IF(ISBLANK($B5),"",CHAR(ROW(D68)))</f>
        <v/>
      </c>
      <c r="I5" s="12" t="str">
        <f>IF(ISBLANK($B5),"",TEXT(Reference!$J$1+30,"DD MMM YY"))</f>
        <v/>
      </c>
      <c r="J5" s="13" t="str">
        <f t="shared" ref="J5:J68" si="1">IF(ISBLANK($B5),"","STORE @ 2-8°C")</f>
        <v/>
      </c>
    </row>
    <row r="6" spans="1:10">
      <c r="A6" s="23" t="s">
        <v>56</v>
      </c>
      <c r="B6" s="36"/>
      <c r="C6" s="37"/>
      <c r="D6" s="22"/>
      <c r="E6" s="19" t="str">
        <f>IF(ISBLANK($B6),"",VLOOKUP($B6,Reference!$A$2:'Reference'!$C$44,2,TRUE))</f>
        <v/>
      </c>
      <c r="F6" s="10" t="str">
        <f>IF(ISBLANK($B6),"",VLOOKUP($B6,Reference!$A$2:'Reference'!$C$44,3,TRUE))</f>
        <v/>
      </c>
      <c r="G6" s="11" t="str">
        <f>IF(ISBLANK($B6),"",TEXT(Reference!$J$1,"mmddyy"))</f>
        <v/>
      </c>
      <c r="H6" s="11" t="str">
        <f t="shared" si="0"/>
        <v/>
      </c>
      <c r="I6" s="12" t="str">
        <f>IF(ISBLANK($B6),"",TEXT(Reference!$J$1+30,"DD MMM YY"))</f>
        <v/>
      </c>
      <c r="J6" s="13" t="str">
        <f t="shared" si="1"/>
        <v/>
      </c>
    </row>
    <row r="7" spans="1:10">
      <c r="A7" s="23" t="s">
        <v>57</v>
      </c>
      <c r="B7" s="36" t="s">
        <v>189</v>
      </c>
      <c r="C7" s="37">
        <v>3</v>
      </c>
      <c r="D7" s="22"/>
      <c r="E7" s="19" t="str">
        <f>IF(ISBLANK($B7),"",VLOOKUP($B7,Reference!$A$2:'Reference'!$C$44,2,TRUE))</f>
        <v>Reo-3 SEED</v>
      </c>
      <c r="F7" s="10" t="str">
        <f>IF(ISBLANK($B7),"",VLOOKUP($B7,Reference!$A$2:'Reference'!$C$44,3,TRUE))</f>
        <v>EMEM + 2% FBS ΔH + 1% L-Glut + 1% NEAA + 1% NaPyr + 1% PS + 0.1%  F</v>
      </c>
      <c r="G7" s="11" t="str">
        <f ca="1">IF(ISBLANK($B7),"",TEXT(Reference!$J$1,"mmddyy"))</f>
        <v>031313</v>
      </c>
      <c r="H7" s="11" t="str">
        <f t="shared" si="0"/>
        <v>F</v>
      </c>
      <c r="I7" s="12" t="str">
        <f ca="1">IF(ISBLANK($B7),"",TEXT(Reference!$J$1+30,"DD MMM YY"))</f>
        <v>12 Apr 13</v>
      </c>
      <c r="J7" s="13" t="str">
        <f t="shared" si="1"/>
        <v>STORE @ 2-8°C</v>
      </c>
    </row>
    <row r="8" spans="1:10">
      <c r="A8" s="23" t="s">
        <v>58</v>
      </c>
      <c r="B8" s="36"/>
      <c r="C8" s="37"/>
      <c r="D8" s="22"/>
      <c r="E8" s="19" t="str">
        <f>IF(ISBLANK($B8),"",VLOOKUP($B8,Reference!$A$2:'Reference'!$C$44,2,TRUE))</f>
        <v/>
      </c>
      <c r="F8" s="10" t="str">
        <f>IF(ISBLANK($B8),"",VLOOKUP($B8,Reference!$A$2:'Reference'!$C$44,3,TRUE))</f>
        <v/>
      </c>
      <c r="G8" s="11" t="str">
        <f>IF(ISBLANK($B8),"",TEXT(Reference!$J$1,"mmddyy"))</f>
        <v/>
      </c>
      <c r="H8" s="11" t="str">
        <f t="shared" si="0"/>
        <v/>
      </c>
      <c r="I8" s="12" t="str">
        <f>IF(ISBLANK($B8),"",TEXT(Reference!$J$1+30,"DD MMM YY"))</f>
        <v/>
      </c>
      <c r="J8" s="13" t="str">
        <f t="shared" si="1"/>
        <v/>
      </c>
    </row>
    <row r="9" spans="1:10">
      <c r="A9" s="23" t="s">
        <v>59</v>
      </c>
      <c r="B9" s="36"/>
      <c r="C9" s="37"/>
      <c r="D9" s="22"/>
      <c r="E9" s="19" t="str">
        <f>IF(ISBLANK($B9),"",VLOOKUP($B9,Reference!$A$2:'Reference'!$C$44,2,TRUE))</f>
        <v/>
      </c>
      <c r="F9" s="10" t="str">
        <f>IF(ISBLANK($B9),"",VLOOKUP($B9,Reference!$A$2:'Reference'!$C$44,3,TRUE))</f>
        <v/>
      </c>
      <c r="G9" s="11" t="str">
        <f>IF(ISBLANK($B9),"",TEXT(Reference!$J$1,"mmddyy"))</f>
        <v/>
      </c>
      <c r="H9" s="11" t="str">
        <f t="shared" si="0"/>
        <v/>
      </c>
      <c r="I9" s="12" t="str">
        <f>IF(ISBLANK($B9),"",TEXT(Reference!$J$1+30,"DD MMM YY"))</f>
        <v/>
      </c>
      <c r="J9" s="13" t="str">
        <f t="shared" si="1"/>
        <v/>
      </c>
    </row>
    <row r="10" spans="1:10">
      <c r="A10" s="23" t="s">
        <v>60</v>
      </c>
      <c r="B10" s="38"/>
      <c r="C10" s="39"/>
      <c r="D10" s="22"/>
      <c r="E10" s="19" t="str">
        <f>IF(ISBLANK($B10),"",VLOOKUP($B10,Reference!$A$2:'Reference'!$C$44,2,TRUE))</f>
        <v/>
      </c>
      <c r="F10" s="10" t="str">
        <f>IF(ISBLANK($B10),"",VLOOKUP($B10,Reference!$A$2:'Reference'!$C$44,3,TRUE))</f>
        <v/>
      </c>
      <c r="G10" s="11" t="str">
        <f>IF(ISBLANK($B10),"",TEXT(Reference!$J$1,"mmddyy"))</f>
        <v/>
      </c>
      <c r="H10" s="11" t="str">
        <f t="shared" si="0"/>
        <v/>
      </c>
      <c r="I10" s="12" t="str">
        <f>IF(ISBLANK($B10),"",TEXT(Reference!$J$1+30,"DD MMM YY"))</f>
        <v/>
      </c>
      <c r="J10" s="13" t="str">
        <f t="shared" si="1"/>
        <v/>
      </c>
    </row>
    <row r="11" spans="1:10">
      <c r="A11" s="23" t="s">
        <v>61</v>
      </c>
      <c r="B11" s="36"/>
      <c r="C11" s="37"/>
      <c r="D11" s="22"/>
      <c r="E11" s="19" t="str">
        <f>IF(ISBLANK($B11),"",VLOOKUP($B11,Reference!$A$2:'Reference'!$C$44,2,TRUE))</f>
        <v/>
      </c>
      <c r="F11" s="10" t="str">
        <f>IF(ISBLANK($B11),"",VLOOKUP($B11,Reference!$A$2:'Reference'!$C$44,3,TRUE))</f>
        <v/>
      </c>
      <c r="G11" s="11" t="str">
        <f>IF(ISBLANK($B11),"",TEXT(Reference!$J$1,"mmddyy"))</f>
        <v/>
      </c>
      <c r="H11" s="11" t="str">
        <f t="shared" si="0"/>
        <v/>
      </c>
      <c r="I11" s="12" t="str">
        <f>IF(ISBLANK($B11),"",TEXT(Reference!$J$1+30,"DD MMM YY"))</f>
        <v/>
      </c>
      <c r="J11" s="13" t="str">
        <f t="shared" si="1"/>
        <v/>
      </c>
    </row>
    <row r="12" spans="1:10">
      <c r="A12" s="23" t="s">
        <v>62</v>
      </c>
      <c r="B12" s="36"/>
      <c r="C12" s="37"/>
      <c r="D12" s="22"/>
      <c r="E12" s="19" t="str">
        <f>IF(ISBLANK($B12),"",VLOOKUP($B12,Reference!$A$2:'Reference'!$C$44,2,TRUE))</f>
        <v/>
      </c>
      <c r="F12" s="10" t="str">
        <f>IF(ISBLANK($B12),"",VLOOKUP($B12,Reference!$A$2:'Reference'!$C$44,3,TRUE))</f>
        <v/>
      </c>
      <c r="G12" s="11" t="str">
        <f>IF(ISBLANK($B12),"",TEXT(Reference!$J$1,"mmddyy"))</f>
        <v/>
      </c>
      <c r="H12" s="11" t="str">
        <f t="shared" si="0"/>
        <v/>
      </c>
      <c r="I12" s="12" t="str">
        <f>IF(ISBLANK($B12),"",TEXT(Reference!$J$1+30,"DD MMM YY"))</f>
        <v/>
      </c>
      <c r="J12" s="13" t="str">
        <f t="shared" si="1"/>
        <v/>
      </c>
    </row>
    <row r="13" spans="1:10">
      <c r="A13" s="23" t="s">
        <v>63</v>
      </c>
      <c r="B13" s="36"/>
      <c r="C13" s="37"/>
      <c r="D13" s="22"/>
      <c r="E13" s="19" t="str">
        <f>IF(ISBLANK($B13),"",VLOOKUP($B13,Reference!$A$2:'Reference'!$C$44,2,TRUE))</f>
        <v/>
      </c>
      <c r="F13" s="10" t="str">
        <f>IF(ISBLANK($B13),"",VLOOKUP($B13,Reference!$A$2:'Reference'!$C$44,3,TRUE))</f>
        <v/>
      </c>
      <c r="G13" s="11" t="str">
        <f>IF(ISBLANK($B13),"",TEXT(Reference!$J$1,"mmddyy"))</f>
        <v/>
      </c>
      <c r="H13" s="11" t="str">
        <f t="shared" si="0"/>
        <v/>
      </c>
      <c r="I13" s="12" t="str">
        <f>IF(ISBLANK($B13),"",TEXT(Reference!$J$1+30,"DD MMM YY"))</f>
        <v/>
      </c>
      <c r="J13" s="13" t="str">
        <f t="shared" si="1"/>
        <v/>
      </c>
    </row>
    <row r="14" spans="1:10">
      <c r="A14" s="23" t="s">
        <v>64</v>
      </c>
      <c r="B14" s="36"/>
      <c r="C14" s="37"/>
      <c r="D14" s="22"/>
      <c r="E14" s="19" t="str">
        <f>IF(ISBLANK($B14),"",VLOOKUP($B14,Reference!$A$2:'Reference'!$C$44,2,TRUE))</f>
        <v/>
      </c>
      <c r="F14" s="10" t="str">
        <f>IF(ISBLANK($B14),"",VLOOKUP($B14,Reference!$A$2:'Reference'!$C$44,3,TRUE))</f>
        <v/>
      </c>
      <c r="G14" s="11" t="str">
        <f>IF(ISBLANK($B14),"",TEXT(Reference!$J$1,"mmddyy"))</f>
        <v/>
      </c>
      <c r="H14" s="11" t="str">
        <f t="shared" si="0"/>
        <v/>
      </c>
      <c r="I14" s="12" t="str">
        <f>IF(ISBLANK($B14),"",TEXT(Reference!$J$1+30,"DD MMM YY"))</f>
        <v/>
      </c>
      <c r="J14" s="13" t="str">
        <f t="shared" si="1"/>
        <v/>
      </c>
    </row>
    <row r="15" spans="1:10">
      <c r="A15" s="23" t="s">
        <v>65</v>
      </c>
      <c r="B15" s="36"/>
      <c r="C15" s="37"/>
      <c r="D15" s="22"/>
      <c r="E15" s="19" t="str">
        <f>IF(ISBLANK($B15),"",VLOOKUP($B15,Reference!$A$2:'Reference'!$C$44,2,TRUE))</f>
        <v/>
      </c>
      <c r="F15" s="10" t="str">
        <f>IF(ISBLANK($B15),"",VLOOKUP($B15,Reference!$A$2:'Reference'!$C$44,3,TRUE))</f>
        <v/>
      </c>
      <c r="G15" s="11" t="str">
        <f>IF(ISBLANK($B15),"",TEXT(Reference!$J$1,"mmddyy"))</f>
        <v/>
      </c>
      <c r="H15" s="11" t="str">
        <f t="shared" si="0"/>
        <v/>
      </c>
      <c r="I15" s="12" t="str">
        <f>IF(ISBLANK($B15),"",TEXT(Reference!$J$1+30,"DD MMM YY"))</f>
        <v/>
      </c>
      <c r="J15" s="13" t="str">
        <f t="shared" si="1"/>
        <v/>
      </c>
    </row>
    <row r="16" spans="1:10">
      <c r="A16" s="23" t="s">
        <v>66</v>
      </c>
      <c r="B16" s="36"/>
      <c r="C16" s="37"/>
      <c r="D16" s="22"/>
      <c r="E16" s="19" t="str">
        <f>IF(ISBLANK($B16),"",VLOOKUP($B16,Reference!$A$2:'Reference'!$C$44,2,TRUE))</f>
        <v/>
      </c>
      <c r="F16" s="10" t="str">
        <f>IF(ISBLANK($B16),"",VLOOKUP($B16,Reference!$A$2:'Reference'!$C$44,3,TRUE))</f>
        <v/>
      </c>
      <c r="G16" s="11" t="str">
        <f>IF(ISBLANK($B16),"",TEXT(Reference!$J$1,"mmddyy"))</f>
        <v/>
      </c>
      <c r="H16" s="11" t="str">
        <f t="shared" si="0"/>
        <v/>
      </c>
      <c r="I16" s="12" t="str">
        <f>IF(ISBLANK($B16),"",TEXT(Reference!$J$1+30,"DD MMM YY"))</f>
        <v/>
      </c>
      <c r="J16" s="13" t="str">
        <f t="shared" si="1"/>
        <v/>
      </c>
    </row>
    <row r="17" spans="1:10">
      <c r="A17" s="23" t="s">
        <v>67</v>
      </c>
      <c r="B17" s="36"/>
      <c r="C17" s="37"/>
      <c r="D17" s="22"/>
      <c r="E17" s="19" t="str">
        <f>IF(ISBLANK($B17),"",VLOOKUP($B17,Reference!$A$2:'Reference'!$C$44,2,TRUE))</f>
        <v/>
      </c>
      <c r="F17" s="10" t="str">
        <f>IF(ISBLANK($B17),"",VLOOKUP($B17,Reference!$A$2:'Reference'!$C$44,3,TRUE))</f>
        <v/>
      </c>
      <c r="G17" s="11" t="str">
        <f>IF(ISBLANK($B17),"",TEXT(Reference!$J$1,"mmddyy"))</f>
        <v/>
      </c>
      <c r="H17" s="11" t="str">
        <f t="shared" si="0"/>
        <v/>
      </c>
      <c r="I17" s="12" t="str">
        <f>IF(ISBLANK($B17),"",TEXT(Reference!$J$1+30,"DD MMM YY"))</f>
        <v/>
      </c>
      <c r="J17" s="13" t="str">
        <f t="shared" si="1"/>
        <v/>
      </c>
    </row>
    <row r="18" spans="1:10">
      <c r="A18" s="23" t="s">
        <v>68</v>
      </c>
      <c r="B18" s="36"/>
      <c r="C18" s="37"/>
      <c r="D18" s="22"/>
      <c r="E18" s="19" t="str">
        <f>IF(ISBLANK($B18),"",VLOOKUP($B18,Reference!$A$2:'Reference'!$C$44,2,TRUE))</f>
        <v/>
      </c>
      <c r="F18" s="10" t="str">
        <f>IF(ISBLANK($B18),"",VLOOKUP($B18,Reference!$A$2:'Reference'!$C$44,3,TRUE))</f>
        <v/>
      </c>
      <c r="G18" s="11" t="str">
        <f>IF(ISBLANK($B18),"",TEXT(Reference!$J$1,"mmddyy"))</f>
        <v/>
      </c>
      <c r="H18" s="11" t="str">
        <f t="shared" si="0"/>
        <v/>
      </c>
      <c r="I18" s="12" t="str">
        <f>IF(ISBLANK($B18),"",TEXT(Reference!$J$1+30,"DD MMM YY"))</f>
        <v/>
      </c>
      <c r="J18" s="13" t="str">
        <f t="shared" si="1"/>
        <v/>
      </c>
    </row>
    <row r="19" spans="1:10">
      <c r="A19" s="23" t="s">
        <v>69</v>
      </c>
      <c r="B19" s="36"/>
      <c r="C19" s="37"/>
      <c r="D19" s="22"/>
      <c r="E19" s="19" t="str">
        <f>IF(ISBLANK($B19),"",VLOOKUP($B19,Reference!$A$2:'Reference'!$C$44,2,TRUE))</f>
        <v/>
      </c>
      <c r="F19" s="10" t="str">
        <f>IF(ISBLANK($B19),"",VLOOKUP($B19,Reference!$A$2:'Reference'!$C$44,3,TRUE))</f>
        <v/>
      </c>
      <c r="G19" s="11" t="str">
        <f>IF(ISBLANK($B19),"",TEXT(Reference!$J$1,"mmddyy"))</f>
        <v/>
      </c>
      <c r="H19" s="11" t="str">
        <f t="shared" si="0"/>
        <v/>
      </c>
      <c r="I19" s="12" t="str">
        <f>IF(ISBLANK($B19),"",TEXT(Reference!$J$1+30,"DD MMM YY"))</f>
        <v/>
      </c>
      <c r="J19" s="13" t="str">
        <f t="shared" si="1"/>
        <v/>
      </c>
    </row>
    <row r="20" spans="1:10">
      <c r="A20" s="23" t="s">
        <v>70</v>
      </c>
      <c r="B20" s="36"/>
      <c r="C20" s="37"/>
      <c r="D20" s="22"/>
      <c r="E20" s="19" t="str">
        <f>IF(ISBLANK($B20),"",VLOOKUP($B20,Reference!$A$2:'Reference'!$C$44,2,TRUE))</f>
        <v/>
      </c>
      <c r="F20" s="10" t="str">
        <f>IF(ISBLANK($B20),"",VLOOKUP($B20,Reference!$A$2:'Reference'!$C$44,3,TRUE))</f>
        <v/>
      </c>
      <c r="G20" s="11" t="str">
        <f>IF(ISBLANK($B20),"",TEXT(Reference!$J$1,"mmddyy"))</f>
        <v/>
      </c>
      <c r="H20" s="11" t="str">
        <f t="shared" si="0"/>
        <v/>
      </c>
      <c r="I20" s="12" t="str">
        <f>IF(ISBLANK($B20),"",TEXT(Reference!$J$1+30,"DD MMM YY"))</f>
        <v/>
      </c>
      <c r="J20" s="13" t="str">
        <f t="shared" si="1"/>
        <v/>
      </c>
    </row>
    <row r="21" spans="1:10">
      <c r="A21" s="23" t="s">
        <v>71</v>
      </c>
      <c r="B21" s="36"/>
      <c r="C21" s="37"/>
      <c r="D21" s="22"/>
      <c r="E21" s="19" t="str">
        <f>IF(ISBLANK($B21),"",VLOOKUP($B21,Reference!$A$2:'Reference'!$C$44,2,TRUE))</f>
        <v/>
      </c>
      <c r="F21" s="10" t="str">
        <f>IF(ISBLANK($B21),"",VLOOKUP($B21,Reference!$A$2:'Reference'!$C$44,3,TRUE))</f>
        <v/>
      </c>
      <c r="G21" s="11" t="str">
        <f>IF(ISBLANK($B21),"",TEXT(Reference!$J$1,"mmddyy"))</f>
        <v/>
      </c>
      <c r="H21" s="11" t="str">
        <f t="shared" si="0"/>
        <v/>
      </c>
      <c r="I21" s="12" t="str">
        <f>IF(ISBLANK($B21),"",TEXT(Reference!$J$1+30,"DD MMM YY"))</f>
        <v/>
      </c>
      <c r="J21" s="13" t="str">
        <f t="shared" si="1"/>
        <v/>
      </c>
    </row>
    <row r="22" spans="1:10">
      <c r="A22" s="23" t="s">
        <v>72</v>
      </c>
      <c r="B22" s="36"/>
      <c r="C22" s="37"/>
      <c r="D22" s="22"/>
      <c r="E22" s="19" t="str">
        <f>IF(ISBLANK($B22),"",VLOOKUP($B22,Reference!$A$2:'Reference'!$C$44,2,TRUE))</f>
        <v/>
      </c>
      <c r="F22" s="10" t="str">
        <f>IF(ISBLANK($B22),"",VLOOKUP($B22,Reference!$A$2:'Reference'!$C$44,3,TRUE))</f>
        <v/>
      </c>
      <c r="G22" s="11" t="str">
        <f>IF(ISBLANK($B22),"",TEXT(Reference!$J$1,"mmddyy"))</f>
        <v/>
      </c>
      <c r="H22" s="11" t="str">
        <f t="shared" si="0"/>
        <v/>
      </c>
      <c r="I22" s="12" t="str">
        <f>IF(ISBLANK($B22),"",TEXT(Reference!$J$1+30,"DD MMM YY"))</f>
        <v/>
      </c>
      <c r="J22" s="13" t="str">
        <f t="shared" si="1"/>
        <v/>
      </c>
    </row>
    <row r="23" spans="1:10">
      <c r="A23" s="23" t="s">
        <v>73</v>
      </c>
      <c r="B23" s="36"/>
      <c r="C23" s="37"/>
      <c r="D23" s="22"/>
      <c r="E23" s="19" t="str">
        <f>IF(ISBLANK($B23),"",VLOOKUP($B23,Reference!$A$2:'Reference'!$C$44,2,TRUE))</f>
        <v/>
      </c>
      <c r="F23" s="10" t="str">
        <f>IF(ISBLANK($B23),"",VLOOKUP($B23,Reference!$A$2:'Reference'!$C$44,3,TRUE))</f>
        <v/>
      </c>
      <c r="G23" s="11" t="str">
        <f>IF(ISBLANK($B23),"",TEXT(Reference!$J$1,"mmddyy"))</f>
        <v/>
      </c>
      <c r="H23" s="11" t="str">
        <f t="shared" si="0"/>
        <v/>
      </c>
      <c r="I23" s="12" t="str">
        <f>IF(ISBLANK($B23),"",TEXT(Reference!$J$1+30,"DD MMM YY"))</f>
        <v/>
      </c>
      <c r="J23" s="13" t="str">
        <f t="shared" si="1"/>
        <v/>
      </c>
    </row>
    <row r="24" spans="1:10">
      <c r="A24" s="23" t="s">
        <v>74</v>
      </c>
      <c r="B24" s="36"/>
      <c r="C24" s="37"/>
      <c r="D24" s="22"/>
      <c r="E24" s="19" t="str">
        <f>IF(ISBLANK($B24),"",VLOOKUP($B24,Reference!$A$2:'Reference'!$C$44,2,TRUE))</f>
        <v/>
      </c>
      <c r="F24" s="10" t="str">
        <f>IF(ISBLANK($B24),"",VLOOKUP($B24,Reference!$A$2:'Reference'!$C$44,3,TRUE))</f>
        <v/>
      </c>
      <c r="G24" s="11" t="str">
        <f>IF(ISBLANK($B24),"",TEXT(Reference!$J$1,"mmddyy"))</f>
        <v/>
      </c>
      <c r="H24" s="11" t="str">
        <f t="shared" si="0"/>
        <v/>
      </c>
      <c r="I24" s="12" t="str">
        <f>IF(ISBLANK($B24),"",TEXT(Reference!$J$1+30,"DD MMM YY"))</f>
        <v/>
      </c>
      <c r="J24" s="13" t="str">
        <f t="shared" si="1"/>
        <v/>
      </c>
    </row>
    <row r="25" spans="1:10">
      <c r="A25" s="23" t="s">
        <v>75</v>
      </c>
      <c r="B25" s="36"/>
      <c r="C25" s="37"/>
      <c r="D25" s="22"/>
      <c r="E25" s="19" t="str">
        <f>IF(ISBLANK($B25),"",VLOOKUP($B25,Reference!$A$2:'Reference'!$C$44,2,TRUE))</f>
        <v/>
      </c>
      <c r="F25" s="10" t="str">
        <f>IF(ISBLANK($B25),"",VLOOKUP($B25,Reference!$A$2:'Reference'!$C$44,3,TRUE))</f>
        <v/>
      </c>
      <c r="G25" s="11" t="str">
        <f>IF(ISBLANK($B25),"",TEXT(Reference!$J$1,"mmddyy"))</f>
        <v/>
      </c>
      <c r="H25" s="11" t="str">
        <f t="shared" si="0"/>
        <v/>
      </c>
      <c r="I25" s="12" t="str">
        <f>IF(ISBLANK($B25),"",TEXT(Reference!$J$1+30,"DD MMM YY"))</f>
        <v/>
      </c>
      <c r="J25" s="13" t="str">
        <f t="shared" si="1"/>
        <v/>
      </c>
    </row>
    <row r="26" spans="1:10">
      <c r="A26" s="23" t="s">
        <v>76</v>
      </c>
      <c r="B26" s="36"/>
      <c r="C26" s="37"/>
      <c r="D26" s="22"/>
      <c r="E26" s="19" t="str">
        <f>IF(ISBLANK($B26),"",VLOOKUP($B26,Reference!$A$2:'Reference'!$C$44,2,TRUE))</f>
        <v/>
      </c>
      <c r="F26" s="10" t="str">
        <f>IF(ISBLANK($B26),"",VLOOKUP($B26,Reference!$A$2:'Reference'!$C$44,3,TRUE))</f>
        <v/>
      </c>
      <c r="G26" s="11" t="str">
        <f>IF(ISBLANK($B26),"",TEXT(Reference!$J$1,"mmddyy"))</f>
        <v/>
      </c>
      <c r="H26" s="11" t="str">
        <f t="shared" si="0"/>
        <v/>
      </c>
      <c r="I26" s="12" t="str">
        <f>IF(ISBLANK($B26),"",TEXT(Reference!$J$1+30,"DD MMM YY"))</f>
        <v/>
      </c>
      <c r="J26" s="13" t="str">
        <f t="shared" si="1"/>
        <v/>
      </c>
    </row>
    <row r="27" spans="1:10">
      <c r="A27" s="23" t="s">
        <v>77</v>
      </c>
      <c r="B27" s="36"/>
      <c r="C27" s="37"/>
      <c r="D27" s="22"/>
      <c r="E27" s="19" t="str">
        <f>IF(ISBLANK($B27),"",VLOOKUP($B27,Reference!$A$2:'Reference'!$C$44,2,TRUE))</f>
        <v/>
      </c>
      <c r="F27" s="10" t="str">
        <f>IF(ISBLANK($B27),"",VLOOKUP($B27,Reference!$A$2:'Reference'!$C$44,3,TRUE))</f>
        <v/>
      </c>
      <c r="G27" s="11" t="str">
        <f>IF(ISBLANK($B27),"",TEXT(Reference!$J$1,"mmddyy"))</f>
        <v/>
      </c>
      <c r="H27" s="11" t="str">
        <f t="shared" si="0"/>
        <v/>
      </c>
      <c r="I27" s="12" t="str">
        <f>IF(ISBLANK($B27),"",TEXT(Reference!$J$1+30,"DD MMM YY"))</f>
        <v/>
      </c>
      <c r="J27" s="13" t="str">
        <f t="shared" si="1"/>
        <v/>
      </c>
    </row>
    <row r="28" spans="1:10">
      <c r="A28" s="23" t="s">
        <v>84</v>
      </c>
      <c r="B28" s="36"/>
      <c r="C28" s="37"/>
      <c r="D28" s="22"/>
      <c r="E28" s="19" t="str">
        <f>IF(ISBLANK($B28),"",VLOOKUP($B28,Reference!$A$2:'Reference'!$C$44,2,TRUE))</f>
        <v/>
      </c>
      <c r="F28" s="10" t="str">
        <f>IF(ISBLANK($B28),"",VLOOKUP($B28,Reference!$A$2:'Reference'!$C$44,3,TRUE))</f>
        <v/>
      </c>
      <c r="G28" s="11" t="str">
        <f>IF(ISBLANK($B28),"",TEXT(Reference!$J$1,"mmddyy"))</f>
        <v/>
      </c>
      <c r="H28" s="11" t="str">
        <f>IF(ISBLANK($B28),"","CA")</f>
        <v/>
      </c>
      <c r="I28" s="12" t="str">
        <f>IF(ISBLANK($B28),"",TEXT(Reference!$J$1+30,"DD MMM YY"))</f>
        <v/>
      </c>
      <c r="J28" s="13" t="str">
        <f t="shared" si="1"/>
        <v/>
      </c>
    </row>
    <row r="29" spans="1:10">
      <c r="A29" s="23" t="s">
        <v>85</v>
      </c>
      <c r="B29" s="36"/>
      <c r="C29" s="37"/>
      <c r="D29" s="22"/>
      <c r="E29" s="19" t="str">
        <f>IF(ISBLANK($B29),"",VLOOKUP($B29,Reference!$A$2:'Reference'!$C$44,2,TRUE))</f>
        <v/>
      </c>
      <c r="F29" s="10" t="str">
        <f>IF(ISBLANK($B29),"",VLOOKUP($B29,Reference!$A$2:'Reference'!$C$44,3,TRUE))</f>
        <v/>
      </c>
      <c r="G29" s="11" t="str">
        <f>IF(ISBLANK($B29),"",TEXT(Reference!$J$1,"mmddyy"))</f>
        <v/>
      </c>
      <c r="H29" s="11" t="str">
        <f>IF(ISBLANK($B29),"","CB")</f>
        <v/>
      </c>
      <c r="I29" s="12" t="str">
        <f>IF(ISBLANK($B29),"",TEXT(Reference!$J$1+30,"DD MMM YY"))</f>
        <v/>
      </c>
      <c r="J29" s="13" t="str">
        <f t="shared" si="1"/>
        <v/>
      </c>
    </row>
    <row r="30" spans="1:10">
      <c r="A30" s="23" t="s">
        <v>86</v>
      </c>
      <c r="B30" s="36"/>
      <c r="C30" s="37"/>
      <c r="D30" s="22"/>
      <c r="E30" s="19" t="str">
        <f>IF(ISBLANK($B30),"",VLOOKUP($B30,Reference!$A$2:'Reference'!$C$44,2,TRUE))</f>
        <v/>
      </c>
      <c r="F30" s="10" t="str">
        <f>IF(ISBLANK($B30),"",VLOOKUP($B30,Reference!$A$2:'Reference'!$C$44,3,TRUE))</f>
        <v/>
      </c>
      <c r="G30" s="11" t="str">
        <f>IF(ISBLANK($B30),"",TEXT(Reference!$J$1,"mmddyy"))</f>
        <v/>
      </c>
      <c r="H30" s="11" t="str">
        <f>IF(ISBLANK($B30),"","CC")</f>
        <v/>
      </c>
      <c r="I30" s="12" t="str">
        <f>IF(ISBLANK($B30),"",TEXT(Reference!$J$1+30,"DD MMM YY"))</f>
        <v/>
      </c>
      <c r="J30" s="13" t="str">
        <f t="shared" si="1"/>
        <v/>
      </c>
    </row>
    <row r="31" spans="1:10">
      <c r="A31" s="23" t="s">
        <v>87</v>
      </c>
      <c r="B31" s="36"/>
      <c r="C31" s="37"/>
      <c r="D31" s="22"/>
      <c r="E31" s="19" t="str">
        <f>IF(ISBLANK($B31),"",VLOOKUP($B31,Reference!$A$2:'Reference'!$C$44,2,TRUE))</f>
        <v/>
      </c>
      <c r="F31" s="10" t="str">
        <f>IF(ISBLANK($B31),"",VLOOKUP($B31,Reference!$A$2:'Reference'!$C$44,3,TRUE))</f>
        <v/>
      </c>
      <c r="G31" s="11" t="str">
        <f>IF(ISBLANK($B31),"",TEXT(Reference!$J$1,"mmddyy"))</f>
        <v/>
      </c>
      <c r="H31" s="11" t="str">
        <f>IF(ISBLANK($B31),"","CD")</f>
        <v/>
      </c>
      <c r="I31" s="12" t="str">
        <f>IF(ISBLANK($B31),"",TEXT(Reference!$J$1+30,"DD MMM YY"))</f>
        <v/>
      </c>
      <c r="J31" s="13" t="str">
        <f t="shared" si="1"/>
        <v/>
      </c>
    </row>
    <row r="32" spans="1:10">
      <c r="A32" s="23" t="s">
        <v>88</v>
      </c>
      <c r="B32" s="36"/>
      <c r="C32" s="37"/>
      <c r="D32" s="22"/>
      <c r="E32" s="19" t="str">
        <f>IF(ISBLANK($B32),"",VLOOKUP($B32,Reference!$A$2:'Reference'!$C$44,2,TRUE))</f>
        <v/>
      </c>
      <c r="F32" s="10" t="str">
        <f>IF(ISBLANK($B32),"",VLOOKUP($B32,Reference!$A$2:'Reference'!$C$44,3,TRUE))</f>
        <v/>
      </c>
      <c r="G32" s="11" t="str">
        <f>IF(ISBLANK($B32),"",TEXT(Reference!$J$1,"mmddyy"))</f>
        <v/>
      </c>
      <c r="H32" s="11" t="str">
        <f>IF(ISBLANK($B32),"","CE")</f>
        <v/>
      </c>
      <c r="I32" s="12" t="str">
        <f>IF(ISBLANK($B32),"",TEXT(Reference!$J$1+30,"DD MMM YY"))</f>
        <v/>
      </c>
      <c r="J32" s="13" t="str">
        <f t="shared" si="1"/>
        <v/>
      </c>
    </row>
    <row r="33" spans="1:10">
      <c r="A33" s="23" t="s">
        <v>89</v>
      </c>
      <c r="B33" s="36"/>
      <c r="C33" s="37"/>
      <c r="D33" s="22"/>
      <c r="E33" s="19" t="str">
        <f>IF(ISBLANK($B33),"",VLOOKUP($B33,Reference!$A$2:'Reference'!$C$44,2,TRUE))</f>
        <v/>
      </c>
      <c r="F33" s="10" t="str">
        <f>IF(ISBLANK($B33),"",VLOOKUP($B33,Reference!$A$2:'Reference'!$C$44,3,TRUE))</f>
        <v/>
      </c>
      <c r="G33" s="11" t="str">
        <f>IF(ISBLANK($B33),"",TEXT(Reference!$J$1,"mmddyy"))</f>
        <v/>
      </c>
      <c r="H33" s="11" t="str">
        <f>IF(ISBLANK($B33),"","CF")</f>
        <v/>
      </c>
      <c r="I33" s="12" t="str">
        <f>IF(ISBLANK($B33),"",TEXT(Reference!$J$1+30,"DD MMM YY"))</f>
        <v/>
      </c>
      <c r="J33" s="13" t="str">
        <f t="shared" si="1"/>
        <v/>
      </c>
    </row>
    <row r="34" spans="1:10">
      <c r="A34" s="23" t="s">
        <v>90</v>
      </c>
      <c r="B34" s="36"/>
      <c r="C34" s="37"/>
      <c r="D34" s="22"/>
      <c r="E34" s="19" t="str">
        <f>IF(ISBLANK($B34),"",VLOOKUP($B34,Reference!$A$2:'Reference'!$C$44,2,TRUE))</f>
        <v/>
      </c>
      <c r="F34" s="10" t="str">
        <f>IF(ISBLANK($B34),"",VLOOKUP($B34,Reference!$A$2:'Reference'!$C$44,3,TRUE))</f>
        <v/>
      </c>
      <c r="G34" s="11" t="str">
        <f>IF(ISBLANK($B34),"",TEXT(Reference!$J$1,"mmddyy"))</f>
        <v/>
      </c>
      <c r="H34" s="11" t="str">
        <f>IF(ISBLANK($B34),"","CG")</f>
        <v/>
      </c>
      <c r="I34" s="12" t="str">
        <f>IF(ISBLANK($B34),"",TEXT(Reference!$J$1+30,"DD MMM YY"))</f>
        <v/>
      </c>
      <c r="J34" s="13" t="str">
        <f t="shared" si="1"/>
        <v/>
      </c>
    </row>
    <row r="35" spans="1:10">
      <c r="A35" s="23" t="s">
        <v>91</v>
      </c>
      <c r="B35" s="36"/>
      <c r="C35" s="37"/>
      <c r="D35" s="22"/>
      <c r="E35" s="19" t="str">
        <f>IF(ISBLANK($B35),"",VLOOKUP($B35,Reference!$A$2:'Reference'!$C$44,2,TRUE))</f>
        <v/>
      </c>
      <c r="F35" s="10" t="str">
        <f>IF(ISBLANK($B35),"",VLOOKUP($B35,Reference!$A$2:'Reference'!$C$44,3,TRUE))</f>
        <v/>
      </c>
      <c r="G35" s="11" t="str">
        <f>IF(ISBLANK($B35),"",TEXT(Reference!$J$1,"mmddyy"))</f>
        <v/>
      </c>
      <c r="H35" s="11" t="str">
        <f>IF(ISBLANK($B35),"","CH")</f>
        <v/>
      </c>
      <c r="I35" s="12" t="str">
        <f>IF(ISBLANK($B35),"",TEXT(Reference!$J$1+30,"DD MMM YY"))</f>
        <v/>
      </c>
      <c r="J35" s="13" t="str">
        <f t="shared" si="1"/>
        <v/>
      </c>
    </row>
    <row r="36" spans="1:10">
      <c r="A36" s="23" t="s">
        <v>92</v>
      </c>
      <c r="B36" s="36"/>
      <c r="C36" s="37"/>
      <c r="D36" s="22"/>
      <c r="E36" s="19" t="str">
        <f>IF(ISBLANK($B36),"",VLOOKUP($B36,Reference!$A$2:'Reference'!$C$44,2,TRUE))</f>
        <v/>
      </c>
      <c r="F36" s="10" t="str">
        <f>IF(ISBLANK($B36),"",VLOOKUP($B36,Reference!$A$2:'Reference'!$C$44,3,TRUE))</f>
        <v/>
      </c>
      <c r="G36" s="11" t="str">
        <f>IF(ISBLANK($B36),"",TEXT(Reference!$J$1,"mmddyy"))</f>
        <v/>
      </c>
      <c r="H36" s="11" t="str">
        <f>IF(ISBLANK($B36),"","CI")</f>
        <v/>
      </c>
      <c r="I36" s="12" t="str">
        <f>IF(ISBLANK($B36),"",TEXT(Reference!$J$1+30,"DD MMM YY"))</f>
        <v/>
      </c>
      <c r="J36" s="13" t="str">
        <f t="shared" si="1"/>
        <v/>
      </c>
    </row>
    <row r="37" spans="1:10">
      <c r="A37" s="23" t="s">
        <v>93</v>
      </c>
      <c r="B37" s="36"/>
      <c r="C37" s="37"/>
      <c r="D37" s="22"/>
      <c r="E37" s="19" t="str">
        <f>IF(ISBLANK($B37),"",VLOOKUP($B37,Reference!$A$2:'Reference'!$C$44,2,TRUE))</f>
        <v/>
      </c>
      <c r="F37" s="10" t="str">
        <f>IF(ISBLANK($B37),"",VLOOKUP($B37,Reference!$A$2:'Reference'!$C$44,3,TRUE))</f>
        <v/>
      </c>
      <c r="G37" s="11" t="str">
        <f>IF(ISBLANK($B37),"",TEXT(Reference!$J$1,"mmddyy"))</f>
        <v/>
      </c>
      <c r="H37" s="11" t="str">
        <f>IF(ISBLANK($B37),"","CJ")</f>
        <v/>
      </c>
      <c r="I37" s="12" t="str">
        <f>IF(ISBLANK($B37),"",TEXT(Reference!$J$1+30,"DD MMM YY"))</f>
        <v/>
      </c>
      <c r="J37" s="13" t="str">
        <f t="shared" si="1"/>
        <v/>
      </c>
    </row>
    <row r="38" spans="1:10">
      <c r="A38" s="23" t="s">
        <v>94</v>
      </c>
      <c r="B38" s="36"/>
      <c r="C38" s="37"/>
      <c r="D38" s="22"/>
      <c r="E38" s="19" t="str">
        <f>IF(ISBLANK($B38),"",VLOOKUP($B38,Reference!$A$2:'Reference'!$C$44,2,TRUE))</f>
        <v/>
      </c>
      <c r="F38" s="10" t="str">
        <f>IF(ISBLANK($B38),"",VLOOKUP($B38,Reference!$A$2:'Reference'!$C$44,3,TRUE))</f>
        <v/>
      </c>
      <c r="G38" s="11" t="str">
        <f>IF(ISBLANK($B38),"",TEXT(Reference!$J$1,"mmddyy"))</f>
        <v/>
      </c>
      <c r="H38" s="11" t="str">
        <f>IF(ISBLANK($B38),"","CK")</f>
        <v/>
      </c>
      <c r="I38" s="12" t="str">
        <f>IF(ISBLANK($B38),"",TEXT(Reference!$J$1+30,"DD MMM YY"))</f>
        <v/>
      </c>
      <c r="J38" s="13" t="str">
        <f t="shared" si="1"/>
        <v/>
      </c>
    </row>
    <row r="39" spans="1:10">
      <c r="A39" s="23" t="s">
        <v>95</v>
      </c>
      <c r="B39" s="36"/>
      <c r="C39" s="37"/>
      <c r="D39" s="22"/>
      <c r="E39" s="19" t="str">
        <f>IF(ISBLANK($B39),"",VLOOKUP($B39,Reference!$A$2:'Reference'!$C$44,2,TRUE))</f>
        <v/>
      </c>
      <c r="F39" s="10" t="str">
        <f>IF(ISBLANK($B39),"",VLOOKUP($B39,Reference!$A$2:'Reference'!$C$44,3,TRUE))</f>
        <v/>
      </c>
      <c r="G39" s="11" t="str">
        <f>IF(ISBLANK($B39),"",TEXT(Reference!$J$1,"mmddyy"))</f>
        <v/>
      </c>
      <c r="H39" s="11" t="str">
        <f>IF(ISBLANK($B39),"","CL")</f>
        <v/>
      </c>
      <c r="I39" s="12" t="str">
        <f>IF(ISBLANK($B39),"",TEXT(Reference!$J$1+30,"DD MMM YY"))</f>
        <v/>
      </c>
      <c r="J39" s="13" t="str">
        <f t="shared" si="1"/>
        <v/>
      </c>
    </row>
    <row r="40" spans="1:10">
      <c r="A40" s="23" t="s">
        <v>96</v>
      </c>
      <c r="B40" s="36"/>
      <c r="C40" s="37"/>
      <c r="D40" s="22"/>
      <c r="E40" s="19" t="str">
        <f>IF(ISBLANK($B40),"",VLOOKUP($B40,Reference!$A$2:'Reference'!$C$44,2,TRUE))</f>
        <v/>
      </c>
      <c r="F40" s="10" t="str">
        <f>IF(ISBLANK($B40),"",VLOOKUP($B40,Reference!$A$2:'Reference'!$C$44,3,TRUE))</f>
        <v/>
      </c>
      <c r="G40" s="11" t="str">
        <f>IF(ISBLANK($B40),"",TEXT(Reference!$J$1,"mmddyy"))</f>
        <v/>
      </c>
      <c r="H40" s="11" t="str">
        <f>IF(ISBLANK($B40),"","CM")</f>
        <v/>
      </c>
      <c r="I40" s="12" t="str">
        <f>IF(ISBLANK($B40),"",TEXT(Reference!$J$1+30,"DD MMM YY"))</f>
        <v/>
      </c>
      <c r="J40" s="13" t="str">
        <f t="shared" si="1"/>
        <v/>
      </c>
    </row>
    <row r="41" spans="1:10">
      <c r="A41" s="23" t="s">
        <v>97</v>
      </c>
      <c r="B41" s="36"/>
      <c r="C41" s="37"/>
      <c r="D41" s="22"/>
      <c r="E41" s="19" t="str">
        <f>IF(ISBLANK($B41),"",VLOOKUP($B41,Reference!$A$2:'Reference'!$C$44,2,TRUE))</f>
        <v/>
      </c>
      <c r="F41" s="10" t="str">
        <f>IF(ISBLANK($B41),"",VLOOKUP($B41,Reference!$A$2:'Reference'!$C$44,3,TRUE))</f>
        <v/>
      </c>
      <c r="G41" s="11" t="str">
        <f>IF(ISBLANK($B41),"",TEXT(Reference!$J$1,"mmddyy"))</f>
        <v/>
      </c>
      <c r="H41" s="11" t="str">
        <f>IF(ISBLANK($B41),"","CN")</f>
        <v/>
      </c>
      <c r="I41" s="12" t="str">
        <f>IF(ISBLANK($B41),"",TEXT(Reference!$J$1+30,"DD MMM YY"))</f>
        <v/>
      </c>
      <c r="J41" s="13" t="str">
        <f t="shared" si="1"/>
        <v/>
      </c>
    </row>
    <row r="42" spans="1:10">
      <c r="A42" s="23" t="s">
        <v>98</v>
      </c>
      <c r="B42" s="36"/>
      <c r="C42" s="37"/>
      <c r="D42" s="22"/>
      <c r="E42" s="19" t="str">
        <f>IF(ISBLANK($B42),"",VLOOKUP($B42,Reference!$A$2:'Reference'!$C$44,2,TRUE))</f>
        <v/>
      </c>
      <c r="F42" s="10" t="str">
        <f>IF(ISBLANK($B42),"",VLOOKUP($B42,Reference!$A$2:'Reference'!$C$44,3,TRUE))</f>
        <v/>
      </c>
      <c r="G42" s="11" t="str">
        <f>IF(ISBLANK($B42),"",TEXT(Reference!$J$1,"mmddyy"))</f>
        <v/>
      </c>
      <c r="H42" s="11" t="str">
        <f>IF(ISBLANK($B42),"","CO")</f>
        <v/>
      </c>
      <c r="I42" s="12" t="str">
        <f>IF(ISBLANK($B42),"",TEXT(Reference!$J$1+30,"DD MMM YY"))</f>
        <v/>
      </c>
      <c r="J42" s="13" t="str">
        <f t="shared" si="1"/>
        <v/>
      </c>
    </row>
    <row r="43" spans="1:10">
      <c r="A43" s="23" t="s">
        <v>99</v>
      </c>
      <c r="B43" s="36"/>
      <c r="C43" s="37"/>
      <c r="D43" s="22"/>
      <c r="E43" s="19" t="str">
        <f>IF(ISBLANK($B43),"",VLOOKUP($B43,Reference!$A$2:'Reference'!$C$44,2,TRUE))</f>
        <v/>
      </c>
      <c r="F43" s="10" t="str">
        <f>IF(ISBLANK($B43),"",VLOOKUP($B43,Reference!$A$2:'Reference'!$C$44,3,TRUE))</f>
        <v/>
      </c>
      <c r="G43" s="11" t="str">
        <f>IF(ISBLANK($B43),"",TEXT(Reference!$J$1,"mmddyy"))</f>
        <v/>
      </c>
      <c r="H43" s="11" t="str">
        <f>IF(ISBLANK($B43),"","CP")</f>
        <v/>
      </c>
      <c r="I43" s="12" t="str">
        <f>IF(ISBLANK($B43),"",TEXT(Reference!$J$1+30,"DD MMM YY"))</f>
        <v/>
      </c>
      <c r="J43" s="13" t="str">
        <f t="shared" si="1"/>
        <v/>
      </c>
    </row>
    <row r="44" spans="1:10">
      <c r="A44" s="23" t="s">
        <v>100</v>
      </c>
      <c r="B44" s="36"/>
      <c r="C44" s="37"/>
      <c r="D44" s="22"/>
      <c r="E44" s="19" t="str">
        <f>IF(ISBLANK($B44),"",VLOOKUP($B44,Reference!$A$2:'Reference'!$C$44,2,TRUE))</f>
        <v/>
      </c>
      <c r="F44" s="10" t="str">
        <f>IF(ISBLANK($B44),"",VLOOKUP($B44,Reference!$A$2:'Reference'!$C$44,3,TRUE))</f>
        <v/>
      </c>
      <c r="G44" s="11" t="str">
        <f>IF(ISBLANK($B44),"",TEXT(Reference!$J$1,"mmddyy"))</f>
        <v/>
      </c>
      <c r="H44" s="11" t="str">
        <f>IF(ISBLANK($B44),"","CQ")</f>
        <v/>
      </c>
      <c r="I44" s="12" t="str">
        <f>IF(ISBLANK($B44),"",TEXT(Reference!$J$1+30,"DD MMM YY"))</f>
        <v/>
      </c>
      <c r="J44" s="13" t="str">
        <f t="shared" si="1"/>
        <v/>
      </c>
    </row>
    <row r="45" spans="1:10">
      <c r="A45" s="23" t="s">
        <v>101</v>
      </c>
      <c r="B45" s="36"/>
      <c r="C45" s="37"/>
      <c r="D45" s="22"/>
      <c r="E45" s="19" t="str">
        <f>IF(ISBLANK($B45),"",VLOOKUP($B45,Reference!$A$2:'Reference'!$C$44,2,TRUE))</f>
        <v/>
      </c>
      <c r="F45" s="10" t="str">
        <f>IF(ISBLANK($B45),"",VLOOKUP($B45,Reference!$A$2:'Reference'!$C$44,3,TRUE))</f>
        <v/>
      </c>
      <c r="G45" s="11" t="str">
        <f>IF(ISBLANK($B45),"",TEXT(Reference!$J$1,"mmddyy"))</f>
        <v/>
      </c>
      <c r="H45" s="11" t="str">
        <f>IF(ISBLANK($B45),"","CR")</f>
        <v/>
      </c>
      <c r="I45" s="12" t="str">
        <f>IF(ISBLANK($B45),"",TEXT(Reference!$J$1+30,"DD MMM YY"))</f>
        <v/>
      </c>
      <c r="J45" s="13" t="str">
        <f t="shared" si="1"/>
        <v/>
      </c>
    </row>
    <row r="46" spans="1:10">
      <c r="A46" s="23" t="s">
        <v>102</v>
      </c>
      <c r="B46" s="36"/>
      <c r="C46" s="37"/>
      <c r="D46" s="22"/>
      <c r="E46" s="19" t="str">
        <f>IF(ISBLANK($B46),"",VLOOKUP($B46,Reference!$A$2:'Reference'!$C$44,2,TRUE))</f>
        <v/>
      </c>
      <c r="F46" s="10" t="str">
        <f>IF(ISBLANK($B46),"",VLOOKUP($B46,Reference!$A$2:'Reference'!$C$44,3,TRUE))</f>
        <v/>
      </c>
      <c r="G46" s="11" t="str">
        <f>IF(ISBLANK($B46),"",TEXT(Reference!$J$1,"mmddyy"))</f>
        <v/>
      </c>
      <c r="H46" s="11" t="str">
        <f>IF(ISBLANK($B46),"","CS")</f>
        <v/>
      </c>
      <c r="I46" s="12" t="str">
        <f>IF(ISBLANK($B46),"",TEXT(Reference!$J$1+30,"DD MMM YY"))</f>
        <v/>
      </c>
      <c r="J46" s="13" t="str">
        <f t="shared" si="1"/>
        <v/>
      </c>
    </row>
    <row r="47" spans="1:10">
      <c r="A47" s="23" t="s">
        <v>103</v>
      </c>
      <c r="B47" s="36"/>
      <c r="C47" s="37"/>
      <c r="D47" s="22"/>
      <c r="E47" s="19" t="str">
        <f>IF(ISBLANK($B47),"",VLOOKUP($B47,Reference!$A$2:'Reference'!$C$44,2,TRUE))</f>
        <v/>
      </c>
      <c r="F47" s="10" t="str">
        <f>IF(ISBLANK($B47),"",VLOOKUP($B47,Reference!$A$2:'Reference'!$C$44,3,TRUE))</f>
        <v/>
      </c>
      <c r="G47" s="11" t="str">
        <f>IF(ISBLANK($B47),"",TEXT(Reference!$J$1,"mmddyy"))</f>
        <v/>
      </c>
      <c r="H47" s="11" t="str">
        <f>IF(ISBLANK($B47),"","CT")</f>
        <v/>
      </c>
      <c r="I47" s="12" t="str">
        <f>IF(ISBLANK($B47),"",TEXT(Reference!$J$1+30,"DD MMM YY"))</f>
        <v/>
      </c>
      <c r="J47" s="13" t="str">
        <f t="shared" si="1"/>
        <v/>
      </c>
    </row>
    <row r="48" spans="1:10">
      <c r="A48" s="23" t="s">
        <v>104</v>
      </c>
      <c r="B48" s="36"/>
      <c r="C48" s="37"/>
      <c r="D48" s="22"/>
      <c r="E48" s="19" t="str">
        <f>IF(ISBLANK($B48),"",VLOOKUP($B48,Reference!$A$2:'Reference'!$C$44,2,TRUE))</f>
        <v/>
      </c>
      <c r="F48" s="10" t="str">
        <f>IF(ISBLANK($B48),"",VLOOKUP($B48,Reference!$A$2:'Reference'!$C$44,3,TRUE))</f>
        <v/>
      </c>
      <c r="G48" s="11" t="str">
        <f>IF(ISBLANK($B48),"",TEXT(Reference!$J$1,"mmddyy"))</f>
        <v/>
      </c>
      <c r="H48" s="11" t="str">
        <f>IF(ISBLANK($B48),"","CU")</f>
        <v/>
      </c>
      <c r="I48" s="12" t="str">
        <f>IF(ISBLANK($B48),"",TEXT(Reference!$J$1+30,"DD MMM YY"))</f>
        <v/>
      </c>
      <c r="J48" s="13" t="str">
        <f t="shared" si="1"/>
        <v/>
      </c>
    </row>
    <row r="49" spans="1:10">
      <c r="A49" s="23" t="s">
        <v>105</v>
      </c>
      <c r="B49" s="36"/>
      <c r="C49" s="37"/>
      <c r="D49" s="22"/>
      <c r="E49" s="19" t="str">
        <f>IF(ISBLANK($B49),"",VLOOKUP($B49,Reference!$A$2:'Reference'!$C$44,2,TRUE))</f>
        <v/>
      </c>
      <c r="F49" s="10" t="str">
        <f>IF(ISBLANK($B49),"",VLOOKUP($B49,Reference!$A$2:'Reference'!$C$44,3,TRUE))</f>
        <v/>
      </c>
      <c r="G49" s="11" t="str">
        <f>IF(ISBLANK($B49),"",TEXT(Reference!$J$1,"mmddyy"))</f>
        <v/>
      </c>
      <c r="H49" s="11" t="str">
        <f>IF(ISBLANK($B49),"","CV")</f>
        <v/>
      </c>
      <c r="I49" s="12" t="str">
        <f>IF(ISBLANK($B49),"",TEXT(Reference!$J$1+30,"DD MMM YY"))</f>
        <v/>
      </c>
      <c r="J49" s="13" t="str">
        <f t="shared" si="1"/>
        <v/>
      </c>
    </row>
    <row r="50" spans="1:10">
      <c r="A50" s="23" t="s">
        <v>106</v>
      </c>
      <c r="B50" s="36"/>
      <c r="C50" s="37"/>
      <c r="D50" s="22"/>
      <c r="E50" s="19" t="str">
        <f>IF(ISBLANK($B50),"",VLOOKUP($B50,Reference!$A$2:'Reference'!$C$44,2,TRUE))</f>
        <v/>
      </c>
      <c r="F50" s="10" t="str">
        <f>IF(ISBLANK($B50),"",VLOOKUP($B50,Reference!$A$2:'Reference'!$C$44,3,TRUE))</f>
        <v/>
      </c>
      <c r="G50" s="11" t="str">
        <f>IF(ISBLANK($B50),"",TEXT(Reference!$J$1,"mmddyy"))</f>
        <v/>
      </c>
      <c r="H50" s="11" t="str">
        <f>IF(ISBLANK($B50),"","CW")</f>
        <v/>
      </c>
      <c r="I50" s="12" t="str">
        <f>IF(ISBLANK($B50),"",TEXT(Reference!$J$1+30,"DD MMM YY"))</f>
        <v/>
      </c>
      <c r="J50" s="13" t="str">
        <f t="shared" si="1"/>
        <v/>
      </c>
    </row>
    <row r="51" spans="1:10">
      <c r="A51" s="23" t="s">
        <v>107</v>
      </c>
      <c r="B51" s="36"/>
      <c r="C51" s="37"/>
      <c r="D51" s="22"/>
      <c r="E51" s="19" t="str">
        <f>IF(ISBLANK($B51),"",VLOOKUP($B51,Reference!$A$2:'Reference'!$C$44,2,TRUE))</f>
        <v/>
      </c>
      <c r="F51" s="10" t="str">
        <f>IF(ISBLANK($B51),"",VLOOKUP($B51,Reference!$A$2:'Reference'!$C$44,3,TRUE))</f>
        <v/>
      </c>
      <c r="G51" s="11" t="str">
        <f>IF(ISBLANK($B51),"",TEXT(Reference!$J$1,"mmddyy"))</f>
        <v/>
      </c>
      <c r="H51" s="11" t="str">
        <f>IF(ISBLANK($B51),"","CX")</f>
        <v/>
      </c>
      <c r="I51" s="12" t="str">
        <f>IF(ISBLANK($B51),"",TEXT(Reference!$J$1+30,"DD MMM YY"))</f>
        <v/>
      </c>
      <c r="J51" s="13" t="str">
        <f t="shared" si="1"/>
        <v/>
      </c>
    </row>
    <row r="52" spans="1:10">
      <c r="A52" s="23" t="s">
        <v>108</v>
      </c>
      <c r="B52" s="36"/>
      <c r="C52" s="37"/>
      <c r="D52" s="22"/>
      <c r="E52" s="19" t="str">
        <f>IF(ISBLANK($B52),"",VLOOKUP($B52,Reference!$A$2:'Reference'!$C$44,2,TRUE))</f>
        <v/>
      </c>
      <c r="F52" s="10" t="str">
        <f>IF(ISBLANK($B52),"",VLOOKUP($B52,Reference!$A$2:'Reference'!$C$44,3,TRUE))</f>
        <v/>
      </c>
      <c r="G52" s="11" t="str">
        <f>IF(ISBLANK($B52),"",TEXT(Reference!$J$1,"mmddyy"))</f>
        <v/>
      </c>
      <c r="H52" s="11" t="str">
        <f>IF(ISBLANK($B52),"","CY")</f>
        <v/>
      </c>
      <c r="I52" s="12" t="str">
        <f>IF(ISBLANK($B52),"",TEXT(Reference!$J$1+30,"DD MMM YY"))</f>
        <v/>
      </c>
      <c r="J52" s="13" t="str">
        <f t="shared" si="1"/>
        <v/>
      </c>
    </row>
    <row r="53" spans="1:10">
      <c r="A53" s="23" t="s">
        <v>109</v>
      </c>
      <c r="B53" s="36"/>
      <c r="C53" s="37"/>
      <c r="D53" s="22"/>
      <c r="E53" s="19" t="str">
        <f>IF(ISBLANK($B53),"",VLOOKUP($B53,Reference!$A$2:'Reference'!$C$44,2,TRUE))</f>
        <v/>
      </c>
      <c r="F53" s="10" t="str">
        <f>IF(ISBLANK($B53),"",VLOOKUP($B53,Reference!$A$2:'Reference'!$C$44,3,TRUE))</f>
        <v/>
      </c>
      <c r="G53" s="11" t="str">
        <f>IF(ISBLANK($B53),"",TEXT(Reference!$J$1,"mmddyy"))</f>
        <v/>
      </c>
      <c r="H53" s="11" t="str">
        <f>IF(ISBLANK($B53),"","CZ")</f>
        <v/>
      </c>
      <c r="I53" s="12" t="str">
        <f>IF(ISBLANK($B53),"",TEXT(Reference!$J$1+30,"DD MMM YY"))</f>
        <v/>
      </c>
      <c r="J53" s="13" t="str">
        <f t="shared" si="1"/>
        <v/>
      </c>
    </row>
    <row r="54" spans="1:10">
      <c r="A54" s="23" t="s">
        <v>110</v>
      </c>
      <c r="B54" s="36"/>
      <c r="C54" s="37"/>
      <c r="D54" s="22"/>
      <c r="E54" s="19" t="str">
        <f>IF(ISBLANK($B54),"",VLOOKUP($B54,Reference!$A$2:'Reference'!$C$44,2,TRUE))</f>
        <v/>
      </c>
      <c r="F54" s="10" t="str">
        <f>IF(ISBLANK($B54),"",VLOOKUP($B54,Reference!$A$2:'Reference'!$C$44,3,TRUE))</f>
        <v/>
      </c>
      <c r="G54" s="11" t="str">
        <f>IF(ISBLANK($B54),"",TEXT(Reference!$J$1,"mmddyy"))</f>
        <v/>
      </c>
      <c r="H54" s="11" t="str">
        <f>IF(ISBLANK($B54),"","DA")</f>
        <v/>
      </c>
      <c r="I54" s="12" t="str">
        <f>IF(ISBLANK($B54),"",TEXT(Reference!$J$1+30,"DD MMM YY"))</f>
        <v/>
      </c>
      <c r="J54" s="13" t="str">
        <f t="shared" si="1"/>
        <v/>
      </c>
    </row>
    <row r="55" spans="1:10">
      <c r="A55" s="23" t="s">
        <v>111</v>
      </c>
      <c r="B55" s="36"/>
      <c r="C55" s="37"/>
      <c r="D55" s="22"/>
      <c r="E55" s="19" t="str">
        <f>IF(ISBLANK($B55),"",VLOOKUP($B55,Reference!$A$2:'Reference'!$C$44,2,TRUE))</f>
        <v/>
      </c>
      <c r="F55" s="10" t="str">
        <f>IF(ISBLANK($B55),"",VLOOKUP($B55,Reference!$A$2:'Reference'!$C$44,3,TRUE))</f>
        <v/>
      </c>
      <c r="G55" s="11" t="str">
        <f>IF(ISBLANK($B55),"",TEXT(Reference!$J$1,"mmddyy"))</f>
        <v/>
      </c>
      <c r="H55" s="11" t="str">
        <f>IF(ISBLANK($B55),"","DB")</f>
        <v/>
      </c>
      <c r="I55" s="12" t="str">
        <f>IF(ISBLANK($B55),"",TEXT(Reference!$J$1+30,"DD MMM YY"))</f>
        <v/>
      </c>
      <c r="J55" s="13" t="str">
        <f t="shared" si="1"/>
        <v/>
      </c>
    </row>
    <row r="56" spans="1:10">
      <c r="A56" s="23" t="s">
        <v>112</v>
      </c>
      <c r="B56" s="36"/>
      <c r="C56" s="37"/>
      <c r="D56" s="22"/>
      <c r="E56" s="19" t="str">
        <f>IF(ISBLANK($B56),"",VLOOKUP($B56,Reference!$A$2:'Reference'!$C$44,2,TRUE))</f>
        <v/>
      </c>
      <c r="F56" s="10" t="str">
        <f>IF(ISBLANK($B56),"",VLOOKUP($B56,Reference!$A$2:'Reference'!$C$44,3,TRUE))</f>
        <v/>
      </c>
      <c r="G56" s="11" t="str">
        <f>IF(ISBLANK($B56),"",TEXT(Reference!$J$1,"mmddyy"))</f>
        <v/>
      </c>
      <c r="H56" s="11" t="str">
        <f>IF(ISBLANK($B56),"","DC")</f>
        <v/>
      </c>
      <c r="I56" s="12" t="str">
        <f>IF(ISBLANK($B56),"",TEXT(Reference!$J$1+30,"DD MMM YY"))</f>
        <v/>
      </c>
      <c r="J56" s="13" t="str">
        <f t="shared" si="1"/>
        <v/>
      </c>
    </row>
    <row r="57" spans="1:10">
      <c r="A57" s="23" t="s">
        <v>113</v>
      </c>
      <c r="B57" s="36"/>
      <c r="C57" s="37"/>
      <c r="D57" s="22"/>
      <c r="E57" s="19" t="str">
        <f>IF(ISBLANK($B57),"",VLOOKUP($B57,Reference!$A$2:'Reference'!$C$44,2,TRUE))</f>
        <v/>
      </c>
      <c r="F57" s="10" t="str">
        <f>IF(ISBLANK($B57),"",VLOOKUP($B57,Reference!$A$2:'Reference'!$C$44,3,TRUE))</f>
        <v/>
      </c>
      <c r="G57" s="11" t="str">
        <f>IF(ISBLANK($B57),"",TEXT(Reference!$J$1,"mmddyy"))</f>
        <v/>
      </c>
      <c r="H57" s="11" t="str">
        <f>IF(ISBLANK($B57),"","DD")</f>
        <v/>
      </c>
      <c r="I57" s="12" t="str">
        <f>IF(ISBLANK($B57),"",TEXT(Reference!$J$1+30,"DD MMM YY"))</f>
        <v/>
      </c>
      <c r="J57" s="13" t="str">
        <f t="shared" si="1"/>
        <v/>
      </c>
    </row>
    <row r="58" spans="1:10">
      <c r="A58" s="23" t="s">
        <v>114</v>
      </c>
      <c r="B58" s="36"/>
      <c r="C58" s="37"/>
      <c r="D58" s="22"/>
      <c r="E58" s="19" t="str">
        <f>IF(ISBLANK($B58),"",VLOOKUP($B58,Reference!$A$2:'Reference'!$C$44,2,TRUE))</f>
        <v/>
      </c>
      <c r="F58" s="10" t="str">
        <f>IF(ISBLANK($B58),"",VLOOKUP($B58,Reference!$A$2:'Reference'!$C$44,3,TRUE))</f>
        <v/>
      </c>
      <c r="G58" s="11" t="str">
        <f>IF(ISBLANK($B58),"",TEXT(Reference!$J$1,"mmddyy"))</f>
        <v/>
      </c>
      <c r="H58" s="11" t="str">
        <f>IF(ISBLANK($B58),"","DE")</f>
        <v/>
      </c>
      <c r="I58" s="12" t="str">
        <f>IF(ISBLANK($B58),"",TEXT(Reference!$J$1+30,"DD MMM YY"))</f>
        <v/>
      </c>
      <c r="J58" s="13" t="str">
        <f t="shared" si="1"/>
        <v/>
      </c>
    </row>
    <row r="59" spans="1:10">
      <c r="A59" s="23" t="s">
        <v>115</v>
      </c>
      <c r="B59" s="36"/>
      <c r="C59" s="37"/>
      <c r="D59" s="22"/>
      <c r="E59" s="19" t="str">
        <f>IF(ISBLANK($B59),"",VLOOKUP($B59,Reference!$A$2:'Reference'!$C$44,2,TRUE))</f>
        <v/>
      </c>
      <c r="F59" s="10" t="str">
        <f>IF(ISBLANK($B59),"",VLOOKUP($B59,Reference!$A$2:'Reference'!$C$44,3,TRUE))</f>
        <v/>
      </c>
      <c r="G59" s="11" t="str">
        <f>IF(ISBLANK($B59),"",TEXT(Reference!$J$1,"mmddyy"))</f>
        <v/>
      </c>
      <c r="H59" s="11" t="str">
        <f>IF(ISBLANK($B59),"","DF")</f>
        <v/>
      </c>
      <c r="I59" s="12" t="str">
        <f>IF(ISBLANK($B59),"",TEXT(Reference!$J$1+30,"DD MMM YY"))</f>
        <v/>
      </c>
      <c r="J59" s="13" t="str">
        <f t="shared" si="1"/>
        <v/>
      </c>
    </row>
    <row r="60" spans="1:10">
      <c r="A60" s="23" t="s">
        <v>116</v>
      </c>
      <c r="B60" s="36"/>
      <c r="C60" s="37"/>
      <c r="D60" s="22"/>
      <c r="E60" s="19" t="str">
        <f>IF(ISBLANK($B60),"",VLOOKUP($B60,Reference!$A$2:'Reference'!$C$44,2,TRUE))</f>
        <v/>
      </c>
      <c r="F60" s="10" t="str">
        <f>IF(ISBLANK($B60),"",VLOOKUP($B60,Reference!$A$2:'Reference'!$C$44,3,TRUE))</f>
        <v/>
      </c>
      <c r="G60" s="11" t="str">
        <f>IF(ISBLANK($B60),"",TEXT(Reference!$J$1,"mmddyy"))</f>
        <v/>
      </c>
      <c r="H60" s="11" t="str">
        <f>IF(ISBLANK($B60),"","DG")</f>
        <v/>
      </c>
      <c r="I60" s="12" t="str">
        <f>IF(ISBLANK($B60),"",TEXT(Reference!$J$1+30,"DD MMM YY"))</f>
        <v/>
      </c>
      <c r="J60" s="13" t="str">
        <f t="shared" si="1"/>
        <v/>
      </c>
    </row>
    <row r="61" spans="1:10">
      <c r="A61" s="23" t="s">
        <v>117</v>
      </c>
      <c r="B61" s="36"/>
      <c r="C61" s="37"/>
      <c r="D61" s="22"/>
      <c r="E61" s="19" t="str">
        <f>IF(ISBLANK($B61),"",VLOOKUP($B61,Reference!$A$2:'Reference'!$C$44,2,TRUE))</f>
        <v/>
      </c>
      <c r="F61" s="10" t="str">
        <f>IF(ISBLANK($B61),"",VLOOKUP($B61,Reference!$A$2:'Reference'!$C$44,3,TRUE))</f>
        <v/>
      </c>
      <c r="G61" s="11" t="str">
        <f>IF(ISBLANK($B61),"",TEXT(Reference!$J$1,"mmddyy"))</f>
        <v/>
      </c>
      <c r="H61" s="11" t="str">
        <f>IF(ISBLANK($B61),"","DH")</f>
        <v/>
      </c>
      <c r="I61" s="12" t="str">
        <f>IF(ISBLANK($B61),"",TEXT(Reference!$J$1+30,"DD MMM YY"))</f>
        <v/>
      </c>
      <c r="J61" s="13" t="str">
        <f t="shared" si="1"/>
        <v/>
      </c>
    </row>
    <row r="62" spans="1:10">
      <c r="A62" s="23" t="s">
        <v>118</v>
      </c>
      <c r="B62" s="36"/>
      <c r="C62" s="37"/>
      <c r="D62" s="22"/>
      <c r="E62" s="19" t="str">
        <f>IF(ISBLANK($B62),"",VLOOKUP($B62,Reference!$A$2:'Reference'!$C$44,2,TRUE))</f>
        <v/>
      </c>
      <c r="F62" s="10" t="str">
        <f>IF(ISBLANK($B62),"",VLOOKUP($B62,Reference!$A$2:'Reference'!$C$44,3,TRUE))</f>
        <v/>
      </c>
      <c r="G62" s="11" t="str">
        <f>IF(ISBLANK($B62),"",TEXT(Reference!$J$1,"mmddyy"))</f>
        <v/>
      </c>
      <c r="H62" s="11" t="str">
        <f>IF(ISBLANK($B62),"","DI")</f>
        <v/>
      </c>
      <c r="I62" s="12" t="str">
        <f>IF(ISBLANK($B62),"",TEXT(Reference!$J$1+30,"DD MMM YY"))</f>
        <v/>
      </c>
      <c r="J62" s="13" t="str">
        <f t="shared" si="1"/>
        <v/>
      </c>
    </row>
    <row r="63" spans="1:10">
      <c r="A63" s="23" t="s">
        <v>119</v>
      </c>
      <c r="B63" s="36"/>
      <c r="C63" s="37"/>
      <c r="D63" s="22"/>
      <c r="E63" s="19" t="str">
        <f>IF(ISBLANK($B63),"",VLOOKUP($B63,Reference!$A$2:'Reference'!$C$44,2,TRUE))</f>
        <v/>
      </c>
      <c r="F63" s="10" t="str">
        <f>IF(ISBLANK($B63),"",VLOOKUP($B63,Reference!$A$2:'Reference'!$C$44,3,TRUE))</f>
        <v/>
      </c>
      <c r="G63" s="11" t="str">
        <f>IF(ISBLANK($B63),"",TEXT(Reference!$J$1,"mmddyy"))</f>
        <v/>
      </c>
      <c r="H63" s="11" t="str">
        <f>IF(ISBLANK($B63),"","DJ")</f>
        <v/>
      </c>
      <c r="I63" s="12" t="str">
        <f>IF(ISBLANK($B63),"",TEXT(Reference!$J$1+30,"DD MMM YY"))</f>
        <v/>
      </c>
      <c r="J63" s="13" t="str">
        <f t="shared" si="1"/>
        <v/>
      </c>
    </row>
    <row r="64" spans="1:10">
      <c r="A64" s="23" t="s">
        <v>120</v>
      </c>
      <c r="B64" s="36"/>
      <c r="C64" s="37"/>
      <c r="D64" s="22"/>
      <c r="E64" s="19" t="str">
        <f>IF(ISBLANK($B64),"",VLOOKUP($B64,Reference!$A$2:'Reference'!$C$44,2,TRUE))</f>
        <v/>
      </c>
      <c r="F64" s="10" t="str">
        <f>IF(ISBLANK($B64),"",VLOOKUP($B64,Reference!$A$2:'Reference'!$C$44,3,TRUE))</f>
        <v/>
      </c>
      <c r="G64" s="11" t="str">
        <f>IF(ISBLANK($B64),"",TEXT(Reference!$J$1,"mmddyy"))</f>
        <v/>
      </c>
      <c r="H64" s="11" t="str">
        <f>IF(ISBLANK($B64),"","DK")</f>
        <v/>
      </c>
      <c r="I64" s="12" t="str">
        <f>IF(ISBLANK($B64),"",TEXT(Reference!$J$1+30,"DD MMM YY"))</f>
        <v/>
      </c>
      <c r="J64" s="13" t="str">
        <f t="shared" si="1"/>
        <v/>
      </c>
    </row>
    <row r="65" spans="1:10">
      <c r="A65" s="23" t="s">
        <v>121</v>
      </c>
      <c r="B65" s="36"/>
      <c r="C65" s="37"/>
      <c r="D65" s="22"/>
      <c r="E65" s="19" t="str">
        <f>IF(ISBLANK($B65),"",VLOOKUP($B65,Reference!$A$2:'Reference'!$C$44,2,TRUE))</f>
        <v/>
      </c>
      <c r="F65" s="10" t="str">
        <f>IF(ISBLANK($B65),"",VLOOKUP($B65,Reference!$A$2:'Reference'!$C$44,3,TRUE))</f>
        <v/>
      </c>
      <c r="G65" s="11" t="str">
        <f>IF(ISBLANK($B65),"",TEXT(Reference!$J$1,"mmddyy"))</f>
        <v/>
      </c>
      <c r="H65" s="11" t="str">
        <f>IF(ISBLANK($B65),"","DL")</f>
        <v/>
      </c>
      <c r="I65" s="12" t="str">
        <f>IF(ISBLANK($B65),"",TEXT(Reference!$J$1+30,"DD MMM YY"))</f>
        <v/>
      </c>
      <c r="J65" s="13" t="str">
        <f t="shared" si="1"/>
        <v/>
      </c>
    </row>
    <row r="66" spans="1:10">
      <c r="A66" s="23" t="s">
        <v>122</v>
      </c>
      <c r="B66" s="36"/>
      <c r="C66" s="37"/>
      <c r="D66" s="22"/>
      <c r="E66" s="19" t="str">
        <f>IF(ISBLANK($B66),"",VLOOKUP($B66,Reference!$A$2:'Reference'!$C$44,2,TRUE))</f>
        <v/>
      </c>
      <c r="F66" s="10" t="str">
        <f>IF(ISBLANK($B66),"",VLOOKUP($B66,Reference!$A$2:'Reference'!$C$44,3,TRUE))</f>
        <v/>
      </c>
      <c r="G66" s="11" t="str">
        <f>IF(ISBLANK($B66),"",TEXT(Reference!$J$1,"mmddyy"))</f>
        <v/>
      </c>
      <c r="H66" s="11" t="str">
        <f>IF(ISBLANK($B66),"","DM")</f>
        <v/>
      </c>
      <c r="I66" s="12" t="str">
        <f>IF(ISBLANK($B66),"",TEXT(Reference!$J$1+30,"DD MMM YY"))</f>
        <v/>
      </c>
      <c r="J66" s="13" t="str">
        <f t="shared" si="1"/>
        <v/>
      </c>
    </row>
    <row r="67" spans="1:10">
      <c r="A67" s="23" t="s">
        <v>123</v>
      </c>
      <c r="B67" s="36"/>
      <c r="C67" s="37"/>
      <c r="D67" s="22"/>
      <c r="E67" s="19" t="str">
        <f>IF(ISBLANK($B67),"",VLOOKUP($B67,Reference!$A$2:'Reference'!$C$44,2,TRUE))</f>
        <v/>
      </c>
      <c r="F67" s="10" t="str">
        <f>IF(ISBLANK($B67),"",VLOOKUP($B67,Reference!$A$2:'Reference'!$C$44,3,TRUE))</f>
        <v/>
      </c>
      <c r="G67" s="11" t="str">
        <f>IF(ISBLANK($B67),"",TEXT(Reference!$J$1,"mmddyy"))</f>
        <v/>
      </c>
      <c r="H67" s="11" t="str">
        <f>IF(ISBLANK($B67),"","DN")</f>
        <v/>
      </c>
      <c r="I67" s="12" t="str">
        <f>IF(ISBLANK($B67),"",TEXT(Reference!$J$1+30,"DD MMM YY"))</f>
        <v/>
      </c>
      <c r="J67" s="13" t="str">
        <f t="shared" si="1"/>
        <v/>
      </c>
    </row>
    <row r="68" spans="1:10">
      <c r="A68" s="23" t="s">
        <v>124</v>
      </c>
      <c r="B68" s="36"/>
      <c r="C68" s="37"/>
      <c r="D68" s="22"/>
      <c r="E68" s="19" t="str">
        <f>IF(ISBLANK($B68),"",VLOOKUP($B68,Reference!$A$2:'Reference'!$C$44,2,TRUE))</f>
        <v/>
      </c>
      <c r="F68" s="10" t="str">
        <f>IF(ISBLANK($B68),"",VLOOKUP($B68,Reference!$A$2:'Reference'!$C$44,3,TRUE))</f>
        <v/>
      </c>
      <c r="G68" s="11" t="str">
        <f>IF(ISBLANK($B68),"",TEXT(Reference!$J$1,"mmddyy"))</f>
        <v/>
      </c>
      <c r="H68" s="11" t="str">
        <f>IF(ISBLANK($B68),"","DO")</f>
        <v/>
      </c>
      <c r="I68" s="12" t="str">
        <f>IF(ISBLANK($B68),"",TEXT(Reference!$J$1+30,"DD MMM YY"))</f>
        <v/>
      </c>
      <c r="J68" s="13" t="str">
        <f t="shared" si="1"/>
        <v/>
      </c>
    </row>
    <row r="69" spans="1:10">
      <c r="A69" s="23" t="s">
        <v>125</v>
      </c>
      <c r="B69" s="36"/>
      <c r="C69" s="37"/>
      <c r="D69" s="22"/>
      <c r="E69" s="19" t="str">
        <f>IF(ISBLANK($B69),"",VLOOKUP($B69,Reference!$A$2:'Reference'!$C$44,2,TRUE))</f>
        <v/>
      </c>
      <c r="F69" s="10" t="str">
        <f>IF(ISBLANK($B69),"",VLOOKUP($B69,Reference!$A$2:'Reference'!$C$44,3,TRUE))</f>
        <v/>
      </c>
      <c r="G69" s="11" t="str">
        <f>IF(ISBLANK($B69),"",TEXT(Reference!$J$1,"mmddyy"))</f>
        <v/>
      </c>
      <c r="H69" s="11" t="str">
        <f>IF(ISBLANK($B69),"","DP")</f>
        <v/>
      </c>
      <c r="I69" s="12" t="str">
        <f>IF(ISBLANK($B69),"",TEXT(Reference!$J$1+30,"DD MMM YY"))</f>
        <v/>
      </c>
      <c r="J69" s="13" t="str">
        <f t="shared" ref="J69:J79" si="2">IF(ISBLANK($B69),"","STORE @ 2-8°C")</f>
        <v/>
      </c>
    </row>
    <row r="70" spans="1:10">
      <c r="A70" s="23" t="s">
        <v>126</v>
      </c>
      <c r="B70" s="36"/>
      <c r="C70" s="37"/>
      <c r="D70" s="22"/>
      <c r="E70" s="19" t="str">
        <f>IF(ISBLANK($B70),"",VLOOKUP($B70,Reference!$A$2:'Reference'!$C$44,2,TRUE))</f>
        <v/>
      </c>
      <c r="F70" s="10" t="str">
        <f>IF(ISBLANK($B70),"",VLOOKUP($B70,Reference!$A$2:'Reference'!$C$44,3,TRUE))</f>
        <v/>
      </c>
      <c r="G70" s="11" t="str">
        <f>IF(ISBLANK($B70),"",TEXT(Reference!$J$1,"mmddyy"))</f>
        <v/>
      </c>
      <c r="H70" s="11" t="str">
        <f>IF(ISBLANK($B70),"","DQ")</f>
        <v/>
      </c>
      <c r="I70" s="12" t="str">
        <f>IF(ISBLANK($B70),"",TEXT(Reference!$J$1+30,"DD MMM YY"))</f>
        <v/>
      </c>
      <c r="J70" s="13" t="str">
        <f t="shared" si="2"/>
        <v/>
      </c>
    </row>
    <row r="71" spans="1:10">
      <c r="A71" s="23" t="s">
        <v>127</v>
      </c>
      <c r="B71" s="36"/>
      <c r="C71" s="37"/>
      <c r="D71" s="22"/>
      <c r="E71" s="19" t="str">
        <f>IF(ISBLANK($B71),"",VLOOKUP($B71,Reference!$A$2:'Reference'!$C$44,2,TRUE))</f>
        <v/>
      </c>
      <c r="F71" s="10" t="str">
        <f>IF(ISBLANK($B71),"",VLOOKUP($B71,Reference!$A$2:'Reference'!$C$44,3,TRUE))</f>
        <v/>
      </c>
      <c r="G71" s="11" t="str">
        <f>IF(ISBLANK($B71),"",TEXT(Reference!$J$1,"mmddyy"))</f>
        <v/>
      </c>
      <c r="H71" s="11" t="str">
        <f>IF(ISBLANK($B71),"","DR")</f>
        <v/>
      </c>
      <c r="I71" s="12" t="str">
        <f>IF(ISBLANK($B71),"",TEXT(Reference!$J$1+30,"DD MMM YY"))</f>
        <v/>
      </c>
      <c r="J71" s="13" t="str">
        <f t="shared" si="2"/>
        <v/>
      </c>
    </row>
    <row r="72" spans="1:10">
      <c r="A72" s="23" t="s">
        <v>128</v>
      </c>
      <c r="B72" s="36"/>
      <c r="C72" s="37"/>
      <c r="D72" s="22"/>
      <c r="E72" s="19" t="str">
        <f>IF(ISBLANK($B72),"",VLOOKUP($B72,Reference!$A$2:'Reference'!$C$44,2,TRUE))</f>
        <v/>
      </c>
      <c r="F72" s="10" t="str">
        <f>IF(ISBLANK($B72),"",VLOOKUP($B72,Reference!$A$2:'Reference'!$C$44,3,TRUE))</f>
        <v/>
      </c>
      <c r="G72" s="11" t="str">
        <f>IF(ISBLANK($B72),"",TEXT(Reference!$J$1,"mmddyy"))</f>
        <v/>
      </c>
      <c r="H72" s="11" t="str">
        <f>IF(ISBLANK($B72),"","DS")</f>
        <v/>
      </c>
      <c r="I72" s="12" t="str">
        <f>IF(ISBLANK($B72),"",TEXT(Reference!$J$1+30,"DD MMM YY"))</f>
        <v/>
      </c>
      <c r="J72" s="13" t="str">
        <f t="shared" si="2"/>
        <v/>
      </c>
    </row>
    <row r="73" spans="1:10">
      <c r="A73" s="23" t="s">
        <v>129</v>
      </c>
      <c r="B73" s="36"/>
      <c r="C73" s="37"/>
      <c r="D73" s="22"/>
      <c r="E73" s="19" t="str">
        <f>IF(ISBLANK($B73),"",VLOOKUP($B73,Reference!$A$2:'Reference'!$C$44,2,TRUE))</f>
        <v/>
      </c>
      <c r="F73" s="10" t="str">
        <f>IF(ISBLANK($B73),"",VLOOKUP($B73,Reference!$A$2:'Reference'!$C$44,3,TRUE))</f>
        <v/>
      </c>
      <c r="G73" s="11" t="str">
        <f>IF(ISBLANK($B73),"",TEXT(Reference!$J$1,"mmddyy"))</f>
        <v/>
      </c>
      <c r="H73" s="11" t="str">
        <f>IF(ISBLANK($B73),"","DT")</f>
        <v/>
      </c>
      <c r="I73" s="12" t="str">
        <f>IF(ISBLANK($B73),"",TEXT(Reference!$J$1+30,"DD MMM YY"))</f>
        <v/>
      </c>
      <c r="J73" s="13" t="str">
        <f t="shared" si="2"/>
        <v/>
      </c>
    </row>
    <row r="74" spans="1:10">
      <c r="A74" s="23" t="s">
        <v>130</v>
      </c>
      <c r="B74" s="36"/>
      <c r="C74" s="37"/>
      <c r="D74" s="22"/>
      <c r="E74" s="19" t="str">
        <f>IF(ISBLANK($B74),"",VLOOKUP($B74,Reference!$A$2:'Reference'!$C$44,2,TRUE))</f>
        <v/>
      </c>
      <c r="F74" s="10" t="str">
        <f>IF(ISBLANK($B74),"",VLOOKUP($B74,Reference!$A$2:'Reference'!$C$44,3,TRUE))</f>
        <v/>
      </c>
      <c r="G74" s="11" t="str">
        <f>IF(ISBLANK($B74),"",TEXT(Reference!$J$1,"mmddyy"))</f>
        <v/>
      </c>
      <c r="H74" s="11" t="str">
        <f>IF(ISBLANK($B74),"","DU")</f>
        <v/>
      </c>
      <c r="I74" s="12" t="str">
        <f>IF(ISBLANK($B74),"",TEXT(Reference!$J$1+30,"DD MMM YY"))</f>
        <v/>
      </c>
      <c r="J74" s="13" t="str">
        <f t="shared" si="2"/>
        <v/>
      </c>
    </row>
    <row r="75" spans="1:10">
      <c r="A75" s="23" t="s">
        <v>131</v>
      </c>
      <c r="B75" s="36"/>
      <c r="C75" s="37"/>
      <c r="D75" s="22"/>
      <c r="E75" s="19" t="str">
        <f>IF(ISBLANK($B75),"",VLOOKUP($B75,Reference!$A$2:'Reference'!$C$44,2,TRUE))</f>
        <v/>
      </c>
      <c r="F75" s="10" t="str">
        <f>IF(ISBLANK($B75),"",VLOOKUP($B75,Reference!$A$2:'Reference'!$C$44,3,TRUE))</f>
        <v/>
      </c>
      <c r="G75" s="11" t="str">
        <f>IF(ISBLANK($B75),"",TEXT(Reference!$J$1,"mmddyy"))</f>
        <v/>
      </c>
      <c r="H75" s="11" t="str">
        <f>IF(ISBLANK($B75),"","DV")</f>
        <v/>
      </c>
      <c r="I75" s="12" t="str">
        <f>IF(ISBLANK($B75),"",TEXT(Reference!$J$1+30,"DD MMM YY"))</f>
        <v/>
      </c>
      <c r="J75" s="13" t="str">
        <f t="shared" si="2"/>
        <v/>
      </c>
    </row>
    <row r="76" spans="1:10">
      <c r="A76" s="23" t="s">
        <v>132</v>
      </c>
      <c r="B76" s="36"/>
      <c r="C76" s="37"/>
      <c r="D76" s="22"/>
      <c r="E76" s="19" t="str">
        <f>IF(ISBLANK($B76),"",VLOOKUP($B76,Reference!$A$2:'Reference'!$C$44,2,TRUE))</f>
        <v/>
      </c>
      <c r="F76" s="10" t="str">
        <f>IF(ISBLANK($B76),"",VLOOKUP($B76,Reference!$A$2:'Reference'!$C$44,3,TRUE))</f>
        <v/>
      </c>
      <c r="G76" s="11" t="str">
        <f>IF(ISBLANK($B76),"",TEXT(Reference!$J$1,"mmddyy"))</f>
        <v/>
      </c>
      <c r="H76" s="11" t="str">
        <f>IF(ISBLANK($B76),"","DW")</f>
        <v/>
      </c>
      <c r="I76" s="12" t="str">
        <f>IF(ISBLANK($B76),"",TEXT(Reference!$J$1+30,"DD MMM YY"))</f>
        <v/>
      </c>
      <c r="J76" s="13" t="str">
        <f t="shared" si="2"/>
        <v/>
      </c>
    </row>
    <row r="77" spans="1:10">
      <c r="A77" s="13" t="s">
        <v>133</v>
      </c>
      <c r="B77" s="38"/>
      <c r="C77" s="39"/>
      <c r="D77" s="30"/>
      <c r="E77" s="19" t="str">
        <f>IF(ISBLANK($B77),"",VLOOKUP($B77,Reference!$A$2:'Reference'!$C$44,2,TRUE))</f>
        <v/>
      </c>
      <c r="F77" s="10" t="str">
        <f>IF(ISBLANK($B77),"",VLOOKUP($B77,Reference!$A$2:'Reference'!$C$44,3,TRUE))</f>
        <v/>
      </c>
      <c r="G77" s="11" t="str">
        <f>IF(ISBLANK($B77),"",TEXT(Reference!$J$1,"mmddyy"))</f>
        <v/>
      </c>
      <c r="H77" s="11" t="str">
        <f>IF(ISBLANK($B77),"","DX")</f>
        <v/>
      </c>
      <c r="I77" s="12" t="str">
        <f>IF(ISBLANK($B77),"",TEXT(Reference!$J$1+30,"DD MMM YY"))</f>
        <v/>
      </c>
      <c r="J77" s="13" t="str">
        <f t="shared" si="2"/>
        <v/>
      </c>
    </row>
    <row r="78" spans="1:10">
      <c r="A78" s="33" t="s">
        <v>81</v>
      </c>
      <c r="B78" s="38"/>
      <c r="C78" s="40"/>
      <c r="D78" s="29"/>
      <c r="E78" s="19" t="str">
        <f>IF(ISBLANK($B78),"",VLOOKUP($B78,Reference!$A$2:'Reference'!$C$44,2,TRUE))</f>
        <v/>
      </c>
      <c r="F78" s="10" t="str">
        <f>IF(ISBLANK($B78),"",VLOOKUP($B78,Reference!$A$2:'Reference'!$C$44,3,TRUE))</f>
        <v/>
      </c>
      <c r="G78" s="11" t="str">
        <f>IF(ISBLANK($B78),"",TEXT(Reference!$J$1,"mmddyy"))</f>
        <v/>
      </c>
      <c r="H78" s="11" t="str">
        <f>IF(ISBLANK($B78),"","DY")</f>
        <v/>
      </c>
      <c r="I78" s="12" t="str">
        <f>IF(ISBLANK($B78),"",TEXT(Reference!$J$1+30,"DD MMM YY"))</f>
        <v/>
      </c>
      <c r="J78" s="13" t="str">
        <f t="shared" si="2"/>
        <v/>
      </c>
    </row>
    <row r="79" spans="1:10" ht="15.75" thickBot="1">
      <c r="A79" s="32" t="s">
        <v>82</v>
      </c>
      <c r="B79" s="41"/>
      <c r="C79" s="42"/>
      <c r="D79" s="31"/>
      <c r="E79" s="20" t="str">
        <f>IF(ISBLANK($B79),"",VLOOKUP($B79,Reference!$A$2:'Reference'!$C$44,2,TRUE))</f>
        <v/>
      </c>
      <c r="F79" s="14" t="str">
        <f>IF(ISBLANK($B79),"",VLOOKUP($B79,Reference!$A$2:'Reference'!$C$44,3,TRUE))</f>
        <v/>
      </c>
      <c r="G79" s="15" t="str">
        <f>IF(ISBLANK($B79),"",TEXT(Reference!$J$1,"mmddyy"))</f>
        <v/>
      </c>
      <c r="H79" s="15" t="str">
        <f>IF(ISBLANK($B79),"","DZ")</f>
        <v/>
      </c>
      <c r="I79" s="16" t="str">
        <f>IF(ISBLANK($B79),"",TEXT(Reference!$J$1+30,"DD MMM YY"))</f>
        <v/>
      </c>
      <c r="J79" s="17" t="str">
        <f t="shared" si="2"/>
        <v/>
      </c>
    </row>
    <row r="80" spans="1:10">
      <c r="B80" s="29"/>
      <c r="C80" s="29"/>
      <c r="D80" s="29"/>
      <c r="E80" s="29"/>
      <c r="F80" s="29"/>
      <c r="G80" s="29"/>
      <c r="H80" s="29"/>
    </row>
    <row r="81" spans="2:8">
      <c r="B81" s="29"/>
      <c r="C81" s="29"/>
      <c r="D81" s="29"/>
      <c r="E81" s="29"/>
      <c r="F81" s="29"/>
      <c r="G81" s="29"/>
      <c r="H81" s="29"/>
    </row>
    <row r="82" spans="2:8">
      <c r="B82" s="29"/>
      <c r="C82" s="29"/>
      <c r="D82" s="29"/>
      <c r="E82" s="29"/>
      <c r="F82" s="29"/>
      <c r="G82" s="29"/>
      <c r="H82" s="29"/>
    </row>
    <row r="83" spans="2:8">
      <c r="B83" s="29"/>
      <c r="C83" s="29"/>
      <c r="D83" s="29"/>
      <c r="E83" s="29"/>
      <c r="F83" s="29"/>
      <c r="G83" s="29"/>
      <c r="H83" s="29"/>
    </row>
    <row r="84" spans="2:8">
      <c r="B84" s="29"/>
      <c r="C84" s="29"/>
      <c r="D84" s="29"/>
      <c r="E84" s="29"/>
      <c r="F84" s="29"/>
      <c r="G84" s="29"/>
      <c r="H84" s="29"/>
    </row>
    <row r="85" spans="2:8">
      <c r="B85" s="29"/>
      <c r="C85" s="29"/>
      <c r="D85" s="29"/>
      <c r="E85" s="29"/>
      <c r="F85" s="29"/>
      <c r="G85" s="29"/>
      <c r="H85" s="29"/>
    </row>
    <row r="86" spans="2:8">
      <c r="B86" s="29"/>
      <c r="C86" s="29"/>
      <c r="D86" s="29"/>
      <c r="E86" s="29"/>
      <c r="F86" s="29"/>
      <c r="G86" s="29"/>
      <c r="H86" s="29"/>
    </row>
    <row r="87" spans="2:8">
      <c r="B87" s="29"/>
      <c r="C87" s="29"/>
      <c r="D87" s="29"/>
      <c r="E87" s="29"/>
      <c r="F87" s="29"/>
      <c r="G87" s="29"/>
      <c r="H87" s="29"/>
    </row>
    <row r="88" spans="2:8">
      <c r="B88" s="29"/>
      <c r="C88" s="29"/>
      <c r="D88" s="29"/>
      <c r="E88" s="29"/>
      <c r="F88" s="29"/>
      <c r="G88" s="29"/>
      <c r="H88" s="29"/>
    </row>
    <row r="89" spans="2:8">
      <c r="B89" s="29"/>
      <c r="C89" s="29"/>
      <c r="D89" s="29"/>
      <c r="E89" s="29"/>
      <c r="F89" s="29"/>
      <c r="G89" s="29"/>
      <c r="H89" s="29"/>
    </row>
    <row r="90" spans="2:8">
      <c r="B90" s="29"/>
      <c r="C90" s="29"/>
      <c r="D90" s="29"/>
      <c r="E90" s="29"/>
      <c r="F90" s="29"/>
      <c r="G90" s="29"/>
      <c r="H90" s="29"/>
    </row>
    <row r="91" spans="2:8">
      <c r="B91" s="29"/>
      <c r="C91" s="29"/>
      <c r="D91" s="29"/>
      <c r="E91" s="29"/>
      <c r="F91" s="29"/>
      <c r="G91" s="29"/>
      <c r="H91" s="29"/>
    </row>
    <row r="92" spans="2:8">
      <c r="B92" s="29"/>
      <c r="C92" s="29"/>
      <c r="D92" s="29"/>
      <c r="E92" s="29"/>
      <c r="F92" s="29"/>
      <c r="G92" s="29"/>
      <c r="H92" s="29"/>
    </row>
    <row r="93" spans="2:8">
      <c r="B93" s="29"/>
      <c r="C93" s="29"/>
      <c r="D93" s="29"/>
      <c r="E93" s="29"/>
      <c r="F93" s="29"/>
      <c r="G93" s="29"/>
      <c r="H93" s="29"/>
    </row>
    <row r="94" spans="2:8">
      <c r="B94" s="29"/>
      <c r="C94" s="29"/>
      <c r="D94" s="29"/>
      <c r="E94" s="29"/>
      <c r="F94" s="29"/>
      <c r="G94" s="29"/>
      <c r="H94" s="29"/>
    </row>
    <row r="95" spans="2:8">
      <c r="B95" s="29"/>
      <c r="C95" s="29"/>
      <c r="D95" s="29"/>
      <c r="E95" s="29"/>
      <c r="F95" s="29"/>
      <c r="G95" s="29"/>
      <c r="H95" s="29"/>
    </row>
    <row r="96" spans="2:8">
      <c r="B96" s="29"/>
      <c r="C96" s="29"/>
      <c r="D96" s="29"/>
      <c r="E96" s="29"/>
      <c r="F96" s="29"/>
      <c r="G96" s="29"/>
      <c r="H96" s="29"/>
    </row>
    <row r="97" spans="2:8">
      <c r="B97" s="29"/>
      <c r="C97" s="29"/>
      <c r="D97" s="29"/>
      <c r="E97" s="29"/>
      <c r="F97" s="29"/>
      <c r="G97" s="29"/>
      <c r="H97" s="29"/>
    </row>
    <row r="98" spans="2:8">
      <c r="B98" s="29"/>
      <c r="C98" s="29"/>
      <c r="D98" s="29"/>
      <c r="E98" s="29"/>
      <c r="F98" s="29"/>
      <c r="G98" s="29"/>
      <c r="H98" s="29"/>
    </row>
    <row r="99" spans="2:8">
      <c r="B99" s="29"/>
      <c r="C99" s="29"/>
      <c r="D99" s="29"/>
      <c r="E99" s="29"/>
      <c r="F99" s="29"/>
      <c r="G99" s="29"/>
      <c r="H99" s="29"/>
    </row>
    <row r="100" spans="2:8">
      <c r="B100" s="29"/>
      <c r="C100" s="29"/>
      <c r="D100" s="29"/>
      <c r="E100" s="29"/>
      <c r="F100" s="29"/>
      <c r="G100" s="29"/>
      <c r="H100" s="29"/>
    </row>
    <row r="101" spans="2:8">
      <c r="B101" s="29"/>
      <c r="C101" s="29"/>
      <c r="D101" s="29"/>
      <c r="E101" s="29"/>
      <c r="F101" s="29"/>
      <c r="G101" s="29"/>
      <c r="H101" s="29"/>
    </row>
    <row r="102" spans="2:8">
      <c r="B102" s="29"/>
      <c r="C102" s="29"/>
      <c r="D102" s="29"/>
      <c r="E102" s="29"/>
      <c r="F102" s="29"/>
      <c r="G102" s="29"/>
      <c r="H102" s="29"/>
    </row>
    <row r="103" spans="2:8">
      <c r="B103" s="29"/>
      <c r="C103" s="29"/>
      <c r="D103" s="29"/>
      <c r="E103" s="29"/>
      <c r="F103" s="29"/>
      <c r="G103" s="29"/>
      <c r="H103" s="29"/>
    </row>
    <row r="104" spans="2:8">
      <c r="B104" s="29"/>
      <c r="C104" s="29"/>
      <c r="D104" s="29"/>
      <c r="E104" s="29"/>
      <c r="F104" s="29"/>
      <c r="G104" s="29"/>
      <c r="H104" s="29"/>
    </row>
    <row r="105" spans="2:8">
      <c r="B105" s="29"/>
      <c r="C105" s="29"/>
      <c r="D105" s="29"/>
      <c r="E105" s="29"/>
      <c r="F105" s="29"/>
      <c r="G105" s="29"/>
      <c r="H105" s="29"/>
    </row>
    <row r="106" spans="2:8">
      <c r="B106" s="29"/>
      <c r="C106" s="29"/>
      <c r="D106" s="29"/>
      <c r="E106" s="29"/>
      <c r="F106" s="29"/>
      <c r="G106" s="29"/>
      <c r="H106" s="29"/>
    </row>
    <row r="107" spans="2:8">
      <c r="B107" s="29"/>
      <c r="C107" s="29"/>
      <c r="D107" s="29"/>
      <c r="E107" s="29"/>
      <c r="F107" s="29"/>
      <c r="G107" s="29"/>
      <c r="H107" s="29"/>
    </row>
    <row r="108" spans="2:8">
      <c r="B108" s="29"/>
      <c r="C108" s="29"/>
      <c r="D108" s="29"/>
      <c r="E108" s="29"/>
      <c r="F108" s="29"/>
      <c r="G108" s="29"/>
      <c r="H108" s="29"/>
    </row>
    <row r="109" spans="2:8">
      <c r="B109" s="29"/>
      <c r="C109" s="29"/>
      <c r="D109" s="29"/>
      <c r="E109" s="29"/>
      <c r="F109" s="29"/>
      <c r="G109" s="29"/>
      <c r="H109" s="29"/>
    </row>
    <row r="110" spans="2:8">
      <c r="B110" s="29"/>
      <c r="C110" s="29"/>
      <c r="D110" s="29"/>
      <c r="E110" s="29"/>
      <c r="F110" s="29"/>
      <c r="G110" s="29"/>
      <c r="H110" s="29"/>
    </row>
    <row r="111" spans="2:8">
      <c r="B111" s="29"/>
      <c r="C111" s="29"/>
      <c r="D111" s="29"/>
      <c r="E111" s="29"/>
      <c r="F111" s="29"/>
      <c r="G111" s="29"/>
      <c r="H111" s="29"/>
    </row>
    <row r="112" spans="2:8">
      <c r="B112" s="29"/>
      <c r="C112" s="29"/>
      <c r="D112" s="29"/>
      <c r="E112" s="29"/>
      <c r="F112" s="29"/>
      <c r="G112" s="29"/>
      <c r="H112" s="29"/>
    </row>
    <row r="113" spans="2:8">
      <c r="B113" s="29"/>
      <c r="C113" s="29"/>
      <c r="D113" s="29"/>
      <c r="E113" s="29"/>
      <c r="F113" s="29"/>
      <c r="G113" s="29"/>
      <c r="H113" s="29"/>
    </row>
    <row r="114" spans="2:8">
      <c r="B114" s="29"/>
      <c r="C114" s="29"/>
      <c r="D114" s="29"/>
      <c r="E114" s="29"/>
      <c r="F114" s="29"/>
      <c r="G114" s="29"/>
      <c r="H114" s="29"/>
    </row>
    <row r="115" spans="2:8">
      <c r="B115" s="29"/>
      <c r="C115" s="29"/>
      <c r="D115" s="29"/>
      <c r="E115" s="29"/>
      <c r="F115" s="29"/>
      <c r="G115" s="29"/>
      <c r="H115" s="29"/>
    </row>
    <row r="116" spans="2:8">
      <c r="B116" s="29"/>
      <c r="C116" s="29"/>
      <c r="D116" s="29"/>
      <c r="E116" s="29"/>
      <c r="F116" s="29"/>
      <c r="G116" s="29"/>
      <c r="H116" s="29"/>
    </row>
    <row r="117" spans="2:8">
      <c r="B117" s="29"/>
      <c r="C117" s="29"/>
      <c r="D117" s="29"/>
      <c r="E117" s="29"/>
      <c r="F117" s="29"/>
      <c r="G117" s="29"/>
      <c r="H117" s="29"/>
    </row>
    <row r="118" spans="2:8">
      <c r="B118" s="29"/>
      <c r="C118" s="29"/>
      <c r="D118" s="29"/>
      <c r="E118" s="29"/>
      <c r="F118" s="29"/>
      <c r="G118" s="29"/>
      <c r="H118" s="29"/>
    </row>
    <row r="119" spans="2:8">
      <c r="B119" s="29"/>
      <c r="C119" s="29"/>
      <c r="D119" s="29"/>
      <c r="E119" s="29"/>
      <c r="F119" s="29"/>
      <c r="G119" s="29"/>
      <c r="H119" s="29"/>
    </row>
    <row r="120" spans="2:8">
      <c r="B120" s="29"/>
      <c r="C120" s="29"/>
      <c r="D120" s="29"/>
      <c r="E120" s="29"/>
      <c r="F120" s="29"/>
      <c r="G120" s="29"/>
      <c r="H120" s="29"/>
    </row>
    <row r="121" spans="2:8">
      <c r="B121" s="29"/>
      <c r="C121" s="29"/>
      <c r="D121" s="29"/>
      <c r="E121" s="29"/>
      <c r="F121" s="29"/>
      <c r="G121" s="29"/>
      <c r="H121" s="29"/>
    </row>
    <row r="122" spans="2:8">
      <c r="B122" s="29"/>
      <c r="C122" s="29"/>
      <c r="D122" s="29"/>
      <c r="E122" s="29"/>
      <c r="F122" s="29"/>
      <c r="G122" s="29"/>
      <c r="H122" s="29"/>
    </row>
    <row r="123" spans="2:8">
      <c r="B123" s="29"/>
      <c r="C123" s="29"/>
      <c r="D123" s="29"/>
      <c r="E123" s="29"/>
      <c r="F123" s="29"/>
      <c r="G123" s="29"/>
      <c r="H123" s="29"/>
    </row>
    <row r="124" spans="2:8">
      <c r="B124" s="29"/>
      <c r="C124" s="29"/>
      <c r="D124" s="29"/>
      <c r="E124" s="29"/>
      <c r="F124" s="29"/>
      <c r="G124" s="29"/>
      <c r="H124" s="29"/>
    </row>
    <row r="125" spans="2:8">
      <c r="B125" s="29"/>
      <c r="C125" s="29"/>
      <c r="D125" s="29"/>
      <c r="E125" s="29"/>
      <c r="F125" s="29"/>
      <c r="G125" s="29"/>
      <c r="H125" s="29"/>
    </row>
    <row r="126" spans="2:8">
      <c r="B126" s="29"/>
      <c r="C126" s="29"/>
      <c r="D126" s="29"/>
      <c r="E126" s="29"/>
      <c r="F126" s="29"/>
      <c r="G126" s="29"/>
      <c r="H126" s="29"/>
    </row>
    <row r="127" spans="2:8">
      <c r="B127" s="29"/>
      <c r="C127" s="29"/>
      <c r="D127" s="29"/>
      <c r="E127" s="29"/>
      <c r="F127" s="29"/>
      <c r="G127" s="29"/>
      <c r="H127" s="29"/>
    </row>
    <row r="128" spans="2:8">
      <c r="B128" s="29"/>
      <c r="C128" s="29"/>
      <c r="D128" s="29"/>
      <c r="E128" s="29"/>
      <c r="F128" s="29"/>
      <c r="G128" s="29"/>
      <c r="H128" s="29"/>
    </row>
    <row r="129" spans="2:8">
      <c r="B129" s="29"/>
      <c r="C129" s="29"/>
      <c r="D129" s="29"/>
      <c r="E129" s="29"/>
      <c r="F129" s="29"/>
      <c r="G129" s="29"/>
      <c r="H129" s="29"/>
    </row>
    <row r="130" spans="2:8">
      <c r="B130" s="29"/>
      <c r="C130" s="29"/>
      <c r="D130" s="29"/>
      <c r="E130" s="29"/>
      <c r="F130" s="29"/>
      <c r="G130" s="29"/>
      <c r="H130" s="29"/>
    </row>
    <row r="131" spans="2:8">
      <c r="B131" s="29"/>
      <c r="C131" s="29"/>
      <c r="D131" s="29"/>
      <c r="E131" s="29"/>
      <c r="F131" s="29"/>
      <c r="G131" s="29"/>
      <c r="H131" s="29"/>
    </row>
    <row r="132" spans="2:8">
      <c r="B132" s="29"/>
      <c r="C132" s="29"/>
      <c r="D132" s="29"/>
      <c r="E132" s="29"/>
      <c r="F132" s="29"/>
      <c r="G132" s="29"/>
      <c r="H132" s="29"/>
    </row>
    <row r="133" spans="2:8">
      <c r="B133" s="29"/>
      <c r="C133" s="29"/>
      <c r="D133" s="29"/>
      <c r="E133" s="29"/>
      <c r="F133" s="29"/>
      <c r="G133" s="29"/>
      <c r="H133" s="29"/>
    </row>
    <row r="134" spans="2:8">
      <c r="B134" s="29"/>
      <c r="C134" s="29"/>
      <c r="D134" s="29"/>
      <c r="E134" s="29"/>
      <c r="F134" s="29"/>
      <c r="G134" s="29"/>
      <c r="H134" s="29"/>
    </row>
    <row r="135" spans="2:8">
      <c r="B135" s="29"/>
      <c r="C135" s="29"/>
      <c r="D135" s="29"/>
      <c r="E135" s="29"/>
      <c r="F135" s="29"/>
      <c r="G135" s="29"/>
      <c r="H135" s="29"/>
    </row>
    <row r="136" spans="2:8">
      <c r="B136" s="29"/>
      <c r="C136" s="29"/>
      <c r="D136" s="29"/>
      <c r="E136" s="29"/>
      <c r="F136" s="29"/>
      <c r="G136" s="29"/>
      <c r="H136" s="29"/>
    </row>
    <row r="137" spans="2:8">
      <c r="B137" s="29"/>
      <c r="C137" s="29"/>
      <c r="D137" s="29"/>
      <c r="E137" s="29"/>
      <c r="F137" s="29"/>
      <c r="G137" s="29"/>
      <c r="H137" s="29"/>
    </row>
    <row r="138" spans="2:8">
      <c r="B138" s="29"/>
      <c r="C138" s="29"/>
      <c r="D138" s="29"/>
      <c r="E138" s="29"/>
      <c r="F138" s="29"/>
      <c r="G138" s="29"/>
      <c r="H138" s="29"/>
    </row>
    <row r="139" spans="2:8">
      <c r="B139" s="29"/>
      <c r="C139" s="29"/>
      <c r="D139" s="29"/>
      <c r="E139" s="29"/>
      <c r="F139" s="29"/>
      <c r="G139" s="29"/>
      <c r="H139" s="29"/>
    </row>
    <row r="140" spans="2:8">
      <c r="B140" s="29"/>
      <c r="C140" s="29"/>
      <c r="D140" s="29"/>
      <c r="E140" s="29"/>
      <c r="F140" s="29"/>
      <c r="G140" s="29"/>
      <c r="H140" s="29"/>
    </row>
    <row r="141" spans="2:8">
      <c r="B141" s="29"/>
      <c r="C141" s="29"/>
      <c r="D141" s="29"/>
      <c r="E141" s="29"/>
      <c r="F141" s="29"/>
      <c r="G141" s="29"/>
      <c r="H141" s="29"/>
    </row>
    <row r="142" spans="2:8">
      <c r="B142" s="29"/>
      <c r="C142" s="29"/>
      <c r="D142" s="29"/>
      <c r="E142" s="29"/>
      <c r="F142" s="29"/>
      <c r="G142" s="29"/>
      <c r="H142" s="29"/>
    </row>
    <row r="143" spans="2:8">
      <c r="B143" s="29"/>
      <c r="C143" s="29"/>
      <c r="D143" s="29"/>
      <c r="E143" s="29"/>
      <c r="F143" s="29"/>
      <c r="G143" s="29"/>
      <c r="H143" s="29"/>
    </row>
    <row r="144" spans="2:8">
      <c r="B144" s="29"/>
      <c r="C144" s="29"/>
      <c r="D144" s="29"/>
      <c r="E144" s="29"/>
      <c r="F144" s="29"/>
      <c r="G144" s="29"/>
      <c r="H144" s="29"/>
    </row>
    <row r="145" spans="2:8">
      <c r="B145" s="29"/>
      <c r="C145" s="29"/>
      <c r="D145" s="29"/>
      <c r="E145" s="29"/>
      <c r="F145" s="29"/>
      <c r="G145" s="29"/>
      <c r="H145" s="29"/>
    </row>
    <row r="146" spans="2:8">
      <c r="B146" s="29"/>
      <c r="C146" s="29"/>
      <c r="D146" s="29"/>
      <c r="E146" s="29"/>
      <c r="F146" s="29"/>
      <c r="G146" s="29"/>
      <c r="H146" s="29"/>
    </row>
    <row r="147" spans="2:8">
      <c r="B147" s="29"/>
      <c r="C147" s="29"/>
      <c r="D147" s="29"/>
      <c r="E147" s="29"/>
      <c r="F147" s="29"/>
      <c r="G147" s="29"/>
      <c r="H147" s="29"/>
    </row>
    <row r="148" spans="2:8">
      <c r="B148" s="29"/>
      <c r="C148" s="29"/>
      <c r="D148" s="29"/>
      <c r="E148" s="29"/>
      <c r="F148" s="29"/>
      <c r="G148" s="29"/>
      <c r="H148" s="29"/>
    </row>
    <row r="149" spans="2:8">
      <c r="B149" s="29"/>
      <c r="C149" s="29"/>
      <c r="D149" s="29"/>
      <c r="E149" s="29"/>
      <c r="F149" s="29"/>
      <c r="G149" s="29"/>
      <c r="H149" s="29"/>
    </row>
    <row r="150" spans="2:8">
      <c r="B150" s="29"/>
      <c r="C150" s="29"/>
      <c r="D150" s="29"/>
      <c r="E150" s="29"/>
      <c r="F150" s="29"/>
      <c r="G150" s="29"/>
      <c r="H150" s="29"/>
    </row>
    <row r="151" spans="2:8">
      <c r="B151" s="29"/>
      <c r="C151" s="29"/>
      <c r="D151" s="29"/>
      <c r="E151" s="29"/>
      <c r="F151" s="29"/>
      <c r="G151" s="29"/>
      <c r="H151" s="29"/>
    </row>
    <row r="152" spans="2:8">
      <c r="B152" s="29"/>
      <c r="C152" s="29"/>
      <c r="D152" s="29"/>
      <c r="E152" s="29"/>
      <c r="F152" s="29"/>
      <c r="G152" s="29"/>
      <c r="H152" s="29"/>
    </row>
    <row r="153" spans="2:8">
      <c r="B153" s="29"/>
      <c r="C153" s="29"/>
      <c r="D153" s="29"/>
      <c r="E153" s="29"/>
      <c r="F153" s="29"/>
      <c r="G153" s="29"/>
      <c r="H153" s="29"/>
    </row>
    <row r="154" spans="2:8">
      <c r="B154" s="29"/>
      <c r="C154" s="29"/>
      <c r="D154" s="29"/>
      <c r="E154" s="29"/>
      <c r="F154" s="29"/>
      <c r="G154" s="29"/>
      <c r="H154" s="29"/>
    </row>
    <row r="155" spans="2:8">
      <c r="B155" s="29"/>
      <c r="C155" s="29"/>
      <c r="D155" s="29"/>
      <c r="E155" s="29"/>
      <c r="F155" s="29"/>
      <c r="G155" s="29"/>
      <c r="H155" s="29"/>
    </row>
    <row r="156" spans="2:8">
      <c r="B156" s="29"/>
      <c r="C156" s="29"/>
      <c r="D156" s="29"/>
      <c r="E156" s="29"/>
      <c r="F156" s="29"/>
      <c r="G156" s="29"/>
      <c r="H156" s="29"/>
    </row>
    <row r="157" spans="2:8">
      <c r="B157" s="29"/>
      <c r="C157" s="29"/>
      <c r="D157" s="29"/>
      <c r="E157" s="29"/>
      <c r="F157" s="29"/>
      <c r="G157" s="29"/>
      <c r="H157" s="29"/>
    </row>
    <row r="158" spans="2:8">
      <c r="B158" s="29"/>
      <c r="C158" s="29"/>
      <c r="D158" s="29"/>
      <c r="E158" s="29"/>
      <c r="F158" s="29"/>
      <c r="G158" s="29"/>
      <c r="H158" s="29"/>
    </row>
    <row r="159" spans="2:8">
      <c r="B159" s="29"/>
      <c r="C159" s="29"/>
      <c r="D159" s="29"/>
      <c r="E159" s="29"/>
      <c r="F159" s="29"/>
      <c r="G159" s="29"/>
      <c r="H159" s="29"/>
    </row>
    <row r="160" spans="2:8">
      <c r="B160" s="29"/>
      <c r="C160" s="29"/>
      <c r="D160" s="29"/>
      <c r="E160" s="29"/>
      <c r="F160" s="29"/>
      <c r="G160" s="29"/>
      <c r="H160" s="29"/>
    </row>
    <row r="161" spans="2:8">
      <c r="B161" s="29"/>
      <c r="C161" s="29"/>
      <c r="D161" s="29"/>
      <c r="E161" s="29"/>
      <c r="F161" s="29"/>
      <c r="G161" s="29"/>
      <c r="H161" s="29"/>
    </row>
    <row r="162" spans="2:8">
      <c r="B162" s="29"/>
      <c r="C162" s="29"/>
      <c r="D162" s="29"/>
      <c r="E162" s="29"/>
      <c r="F162" s="29"/>
      <c r="G162" s="29"/>
      <c r="H162" s="29"/>
    </row>
    <row r="163" spans="2:8">
      <c r="B163" s="29"/>
      <c r="C163" s="29"/>
      <c r="D163" s="29"/>
      <c r="E163" s="29"/>
      <c r="F163" s="29"/>
      <c r="G163" s="29"/>
      <c r="H163" s="29"/>
    </row>
    <row r="164" spans="2:8">
      <c r="B164" s="29"/>
      <c r="C164" s="29"/>
      <c r="D164" s="29"/>
      <c r="E164" s="29"/>
      <c r="F164" s="29"/>
      <c r="G164" s="29"/>
      <c r="H164" s="29"/>
    </row>
    <row r="165" spans="2:8">
      <c r="B165" s="29"/>
      <c r="C165" s="29"/>
      <c r="D165" s="29"/>
      <c r="E165" s="29"/>
      <c r="F165" s="29"/>
      <c r="G165" s="29"/>
      <c r="H165" s="29"/>
    </row>
    <row r="166" spans="2:8">
      <c r="B166" s="29"/>
      <c r="C166" s="29"/>
      <c r="D166" s="29"/>
      <c r="E166" s="29"/>
      <c r="F166" s="29"/>
      <c r="G166" s="29"/>
      <c r="H166" s="29"/>
    </row>
    <row r="167" spans="2:8">
      <c r="B167" s="29"/>
      <c r="C167" s="29"/>
      <c r="D167" s="29"/>
      <c r="E167" s="29"/>
      <c r="F167" s="29"/>
      <c r="G167" s="29"/>
      <c r="H167" s="29"/>
    </row>
    <row r="168" spans="2:8">
      <c r="B168" s="29"/>
      <c r="C168" s="29"/>
      <c r="D168" s="29"/>
      <c r="E168" s="29"/>
      <c r="F168" s="29"/>
      <c r="G168" s="29"/>
      <c r="H168" s="29"/>
    </row>
    <row r="169" spans="2:8">
      <c r="B169" s="29"/>
      <c r="C169" s="29"/>
      <c r="D169" s="29"/>
      <c r="E169" s="29"/>
      <c r="F169" s="29"/>
      <c r="G169" s="29"/>
      <c r="H169" s="29"/>
    </row>
    <row r="170" spans="2:8">
      <c r="B170" s="29"/>
      <c r="C170" s="29"/>
      <c r="D170" s="29"/>
      <c r="E170" s="29"/>
      <c r="F170" s="29"/>
      <c r="G170" s="29"/>
      <c r="H170" s="29"/>
    </row>
    <row r="171" spans="2:8">
      <c r="B171" s="29"/>
      <c r="C171" s="29"/>
      <c r="D171" s="29"/>
      <c r="E171" s="29"/>
      <c r="F171" s="29"/>
      <c r="G171" s="29"/>
      <c r="H171" s="29"/>
    </row>
    <row r="172" spans="2:8">
      <c r="B172" s="29"/>
      <c r="C172" s="29"/>
      <c r="D172" s="29"/>
      <c r="E172" s="29"/>
      <c r="F172" s="29"/>
      <c r="G172" s="29"/>
      <c r="H172" s="29"/>
    </row>
    <row r="173" spans="2:8">
      <c r="B173" s="29"/>
      <c r="C173" s="29"/>
      <c r="D173" s="29"/>
      <c r="E173" s="29"/>
      <c r="F173" s="29"/>
      <c r="G173" s="29"/>
      <c r="H173" s="29"/>
    </row>
    <row r="174" spans="2:8">
      <c r="B174" s="29"/>
      <c r="C174" s="29"/>
      <c r="D174" s="29"/>
      <c r="E174" s="29"/>
      <c r="F174" s="29"/>
      <c r="G174" s="29"/>
      <c r="H174" s="29"/>
    </row>
    <row r="175" spans="2:8">
      <c r="B175" s="29"/>
      <c r="C175" s="29"/>
      <c r="D175" s="29"/>
      <c r="E175" s="29"/>
      <c r="F175" s="29"/>
      <c r="G175" s="29"/>
      <c r="H175" s="29"/>
    </row>
    <row r="176" spans="2:8">
      <c r="B176" s="29"/>
      <c r="C176" s="29"/>
      <c r="D176" s="29"/>
      <c r="E176" s="29"/>
      <c r="F176" s="29"/>
      <c r="G176" s="29"/>
      <c r="H176" s="29"/>
    </row>
    <row r="177" spans="2:8">
      <c r="B177" s="29"/>
      <c r="C177" s="29"/>
      <c r="D177" s="29"/>
      <c r="E177" s="29"/>
      <c r="F177" s="29"/>
      <c r="G177" s="29"/>
      <c r="H177" s="29"/>
    </row>
    <row r="178" spans="2:8">
      <c r="B178" s="29"/>
      <c r="C178" s="29"/>
      <c r="D178" s="29"/>
      <c r="E178" s="29"/>
      <c r="F178" s="29"/>
      <c r="G178" s="29"/>
      <c r="H178" s="29"/>
    </row>
    <row r="179" spans="2:8">
      <c r="B179" s="29"/>
      <c r="C179" s="29"/>
      <c r="D179" s="29"/>
      <c r="E179" s="29"/>
      <c r="F179" s="29"/>
      <c r="G179" s="29"/>
      <c r="H179" s="29"/>
    </row>
    <row r="180" spans="2:8">
      <c r="B180" s="29"/>
      <c r="C180" s="29"/>
      <c r="D180" s="29"/>
      <c r="E180" s="29"/>
      <c r="F180" s="29"/>
      <c r="G180" s="29"/>
      <c r="H180" s="29"/>
    </row>
    <row r="181" spans="2:8">
      <c r="B181" s="29"/>
      <c r="C181" s="29"/>
      <c r="D181" s="29"/>
      <c r="E181" s="29"/>
      <c r="F181" s="29"/>
      <c r="G181" s="29"/>
      <c r="H181" s="29"/>
    </row>
    <row r="182" spans="2:8">
      <c r="B182" s="29"/>
      <c r="C182" s="29"/>
      <c r="D182" s="29"/>
      <c r="E182" s="29"/>
      <c r="F182" s="29"/>
      <c r="G182" s="29"/>
      <c r="H182" s="29"/>
    </row>
    <row r="183" spans="2:8">
      <c r="B183" s="29"/>
      <c r="C183" s="29"/>
      <c r="D183" s="29"/>
      <c r="E183" s="29"/>
      <c r="F183" s="29"/>
      <c r="G183" s="29"/>
      <c r="H183" s="29"/>
    </row>
    <row r="184" spans="2:8">
      <c r="B184" s="29"/>
      <c r="C184" s="29"/>
      <c r="D184" s="29"/>
      <c r="E184" s="29"/>
      <c r="F184" s="29"/>
      <c r="G184" s="29"/>
      <c r="H184" s="29"/>
    </row>
    <row r="185" spans="2:8">
      <c r="B185" s="29"/>
      <c r="C185" s="29"/>
      <c r="D185" s="29"/>
      <c r="E185" s="29"/>
      <c r="F185" s="29"/>
      <c r="G185" s="29"/>
      <c r="H185" s="29"/>
    </row>
    <row r="186" spans="2:8">
      <c r="B186" s="29"/>
      <c r="C186" s="29"/>
      <c r="D186" s="29"/>
      <c r="E186" s="29"/>
      <c r="F186" s="29"/>
      <c r="G186" s="29"/>
      <c r="H186" s="29"/>
    </row>
    <row r="187" spans="2:8">
      <c r="B187" s="29"/>
      <c r="C187" s="29"/>
      <c r="D187" s="29"/>
      <c r="E187" s="29"/>
      <c r="F187" s="29"/>
      <c r="G187" s="29"/>
      <c r="H187" s="29"/>
    </row>
    <row r="188" spans="2:8">
      <c r="B188" s="29"/>
      <c r="C188" s="29"/>
      <c r="D188" s="29"/>
      <c r="E188" s="29"/>
      <c r="F188" s="29"/>
      <c r="G188" s="29"/>
      <c r="H188" s="29"/>
    </row>
    <row r="189" spans="2:8">
      <c r="B189" s="29"/>
      <c r="C189" s="29"/>
      <c r="D189" s="29"/>
      <c r="E189" s="29"/>
      <c r="F189" s="29"/>
      <c r="G189" s="29"/>
      <c r="H189" s="29"/>
    </row>
    <row r="190" spans="2:8">
      <c r="B190" s="29"/>
      <c r="C190" s="29"/>
      <c r="D190" s="29"/>
      <c r="E190" s="29"/>
      <c r="F190" s="29"/>
      <c r="G190" s="29"/>
      <c r="H190" s="29"/>
    </row>
    <row r="191" spans="2:8">
      <c r="B191" s="29"/>
      <c r="C191" s="29"/>
      <c r="D191" s="29"/>
      <c r="E191" s="29"/>
      <c r="F191" s="29"/>
      <c r="G191" s="29"/>
      <c r="H191" s="29"/>
    </row>
    <row r="192" spans="2:8">
      <c r="B192" s="29"/>
      <c r="C192" s="29"/>
      <c r="D192" s="29"/>
      <c r="E192" s="29"/>
      <c r="F192" s="29"/>
      <c r="G192" s="29"/>
      <c r="H192" s="29"/>
    </row>
    <row r="193" spans="2:8">
      <c r="B193" s="29"/>
      <c r="C193" s="29"/>
      <c r="D193" s="29"/>
      <c r="E193" s="29"/>
      <c r="F193" s="29"/>
      <c r="G193" s="29"/>
      <c r="H193" s="29"/>
    </row>
    <row r="194" spans="2:8">
      <c r="B194" s="29"/>
      <c r="C194" s="29"/>
      <c r="D194" s="29"/>
      <c r="E194" s="29"/>
      <c r="F194" s="29"/>
      <c r="G194" s="29"/>
      <c r="H194" s="29"/>
    </row>
    <row r="195" spans="2:8">
      <c r="B195" s="29"/>
      <c r="C195" s="29"/>
      <c r="D195" s="29"/>
      <c r="E195" s="29"/>
      <c r="F195" s="29"/>
      <c r="G195" s="29"/>
      <c r="H195" s="29"/>
    </row>
    <row r="196" spans="2:8">
      <c r="B196" s="29"/>
      <c r="C196" s="29"/>
      <c r="D196" s="29"/>
      <c r="E196" s="29"/>
      <c r="F196" s="29"/>
      <c r="G196" s="29"/>
      <c r="H196" s="29"/>
    </row>
    <row r="197" spans="2:8">
      <c r="B197" s="29"/>
      <c r="C197" s="29"/>
      <c r="D197" s="29"/>
      <c r="E197" s="29"/>
      <c r="F197" s="29"/>
      <c r="G197" s="29"/>
      <c r="H197" s="29"/>
    </row>
    <row r="198" spans="2:8">
      <c r="B198" s="29"/>
      <c r="C198" s="29"/>
      <c r="D198" s="29"/>
      <c r="E198" s="29"/>
      <c r="F198" s="29"/>
      <c r="G198" s="29"/>
      <c r="H198" s="29"/>
    </row>
    <row r="199" spans="2:8">
      <c r="B199" s="29"/>
      <c r="C199" s="29"/>
      <c r="D199" s="29"/>
      <c r="E199" s="29"/>
      <c r="F199" s="29"/>
      <c r="G199" s="29"/>
      <c r="H199" s="29"/>
    </row>
    <row r="200" spans="2:8">
      <c r="B200" s="29"/>
      <c r="C200" s="29"/>
      <c r="D200" s="29"/>
      <c r="E200" s="29"/>
      <c r="F200" s="29"/>
      <c r="G200" s="29"/>
      <c r="H200" s="29"/>
    </row>
    <row r="201" spans="2:8">
      <c r="B201" s="29"/>
      <c r="C201" s="29"/>
      <c r="D201" s="29"/>
      <c r="E201" s="29"/>
      <c r="F201" s="29"/>
      <c r="G201" s="29"/>
      <c r="H201" s="29"/>
    </row>
    <row r="202" spans="2:8">
      <c r="B202" s="29"/>
      <c r="C202" s="29"/>
      <c r="D202" s="29"/>
      <c r="E202" s="29"/>
      <c r="F202" s="29"/>
      <c r="G202" s="29"/>
      <c r="H202" s="29"/>
    </row>
    <row r="203" spans="2:8">
      <c r="B203" s="29"/>
      <c r="C203" s="29"/>
      <c r="D203" s="29"/>
      <c r="E203" s="29"/>
      <c r="F203" s="29"/>
      <c r="G203" s="29"/>
      <c r="H203" s="29"/>
    </row>
    <row r="204" spans="2:8">
      <c r="B204" s="29"/>
      <c r="C204" s="29"/>
      <c r="D204" s="29"/>
      <c r="E204" s="29"/>
      <c r="F204" s="29"/>
      <c r="G204" s="29"/>
      <c r="H204" s="29"/>
    </row>
    <row r="205" spans="2:8">
      <c r="B205" s="29"/>
      <c r="C205" s="29"/>
      <c r="D205" s="29"/>
      <c r="E205" s="29"/>
      <c r="F205" s="29"/>
      <c r="G205" s="29"/>
      <c r="H205" s="29"/>
    </row>
    <row r="206" spans="2:8">
      <c r="B206" s="29"/>
      <c r="C206" s="29"/>
      <c r="D206" s="29"/>
      <c r="E206" s="29"/>
      <c r="F206" s="29"/>
      <c r="G206" s="29"/>
      <c r="H206" s="29"/>
    </row>
    <row r="207" spans="2:8">
      <c r="B207" s="29"/>
      <c r="C207" s="29"/>
      <c r="D207" s="29"/>
      <c r="E207" s="29"/>
      <c r="F207" s="29"/>
      <c r="G207" s="29"/>
      <c r="H207" s="29"/>
    </row>
    <row r="208" spans="2:8">
      <c r="B208" s="29"/>
      <c r="C208" s="29"/>
      <c r="D208" s="29"/>
      <c r="E208" s="29"/>
      <c r="F208" s="29"/>
      <c r="G208" s="29"/>
      <c r="H208" s="29"/>
    </row>
    <row r="209" spans="2:8">
      <c r="B209" s="29"/>
      <c r="C209" s="29"/>
      <c r="D209" s="29"/>
      <c r="E209" s="29"/>
      <c r="F209" s="29"/>
      <c r="G209" s="29"/>
      <c r="H209" s="29"/>
    </row>
    <row r="210" spans="2:8">
      <c r="B210" s="29"/>
      <c r="C210" s="29"/>
      <c r="D210" s="29"/>
      <c r="E210" s="29"/>
      <c r="F210" s="29"/>
      <c r="G210" s="29"/>
      <c r="H210" s="29"/>
    </row>
    <row r="211" spans="2:8">
      <c r="B211" s="29"/>
      <c r="C211" s="29"/>
      <c r="D211" s="29"/>
      <c r="E211" s="29"/>
      <c r="F211" s="29"/>
      <c r="G211" s="29"/>
      <c r="H211" s="29"/>
    </row>
    <row r="212" spans="2:8">
      <c r="B212" s="29"/>
      <c r="C212" s="29"/>
      <c r="D212" s="29"/>
      <c r="E212" s="29"/>
      <c r="F212" s="29"/>
      <c r="G212" s="29"/>
      <c r="H212" s="29"/>
    </row>
    <row r="213" spans="2:8">
      <c r="B213" s="29"/>
      <c r="C213" s="29"/>
      <c r="D213" s="29"/>
      <c r="E213" s="29"/>
      <c r="F213" s="29"/>
      <c r="G213" s="29"/>
      <c r="H213" s="29"/>
    </row>
    <row r="214" spans="2:8">
      <c r="B214" s="29"/>
      <c r="C214" s="29"/>
      <c r="D214" s="29"/>
      <c r="E214" s="29"/>
      <c r="F214" s="29"/>
      <c r="G214" s="29"/>
      <c r="H214" s="29"/>
    </row>
    <row r="215" spans="2:8">
      <c r="B215" s="29"/>
      <c r="C215" s="29"/>
      <c r="D215" s="29"/>
      <c r="E215" s="29"/>
      <c r="F215" s="29"/>
      <c r="G215" s="29"/>
      <c r="H215" s="29"/>
    </row>
    <row r="216" spans="2:8">
      <c r="B216" s="29"/>
      <c r="C216" s="29"/>
      <c r="D216" s="29"/>
      <c r="E216" s="29"/>
      <c r="F216" s="29"/>
      <c r="G216" s="29"/>
      <c r="H216" s="29"/>
    </row>
    <row r="217" spans="2:8">
      <c r="B217" s="29"/>
      <c r="C217" s="29"/>
      <c r="D217" s="29"/>
      <c r="E217" s="29"/>
      <c r="F217" s="29"/>
      <c r="G217" s="29"/>
      <c r="H217" s="29"/>
    </row>
    <row r="218" spans="2:8">
      <c r="B218" s="29"/>
      <c r="C218" s="29"/>
      <c r="D218" s="29"/>
      <c r="E218" s="29"/>
      <c r="F218" s="29"/>
      <c r="G218" s="29"/>
      <c r="H218" s="29"/>
    </row>
    <row r="219" spans="2:8">
      <c r="B219" s="29"/>
      <c r="C219" s="29"/>
      <c r="D219" s="29"/>
      <c r="E219" s="29"/>
      <c r="F219" s="29"/>
      <c r="G219" s="29"/>
      <c r="H219" s="29"/>
    </row>
    <row r="220" spans="2:8">
      <c r="B220" s="29"/>
      <c r="C220" s="29"/>
      <c r="D220" s="29"/>
      <c r="E220" s="29"/>
      <c r="F220" s="29"/>
      <c r="G220" s="29"/>
      <c r="H220" s="29"/>
    </row>
    <row r="221" spans="2:8">
      <c r="B221" s="29"/>
      <c r="C221" s="29"/>
      <c r="D221" s="29"/>
      <c r="E221" s="29"/>
      <c r="F221" s="29"/>
      <c r="G221" s="29"/>
      <c r="H221" s="29"/>
    </row>
    <row r="222" spans="2:8">
      <c r="B222" s="29"/>
      <c r="C222" s="29"/>
      <c r="D222" s="29"/>
      <c r="E222" s="29"/>
      <c r="F222" s="29"/>
      <c r="G222" s="29"/>
      <c r="H222" s="29"/>
    </row>
    <row r="223" spans="2:8">
      <c r="B223" s="29"/>
      <c r="C223" s="29"/>
      <c r="D223" s="29"/>
      <c r="E223" s="29"/>
      <c r="F223" s="29"/>
      <c r="G223" s="29"/>
      <c r="H223" s="29"/>
    </row>
    <row r="224" spans="2:8">
      <c r="B224" s="29"/>
      <c r="C224" s="29"/>
      <c r="D224" s="29"/>
      <c r="E224" s="29"/>
      <c r="F224" s="29"/>
      <c r="G224" s="29"/>
      <c r="H224" s="29"/>
    </row>
    <row r="225" spans="2:8">
      <c r="B225" s="29"/>
      <c r="C225" s="29"/>
      <c r="D225" s="29"/>
      <c r="E225" s="29"/>
      <c r="F225" s="29"/>
      <c r="G225" s="29"/>
      <c r="H225" s="29"/>
    </row>
    <row r="226" spans="2:8">
      <c r="B226" s="29"/>
      <c r="C226" s="29"/>
      <c r="D226" s="29"/>
      <c r="E226" s="29"/>
      <c r="F226" s="29"/>
      <c r="G226" s="29"/>
      <c r="H226" s="29"/>
    </row>
    <row r="227" spans="2:8">
      <c r="B227" s="29"/>
      <c r="C227" s="29"/>
      <c r="D227" s="29"/>
      <c r="E227" s="29"/>
      <c r="F227" s="29"/>
      <c r="G227" s="29"/>
      <c r="H227" s="29"/>
    </row>
    <row r="228" spans="2:8">
      <c r="B228" s="29"/>
      <c r="C228" s="29"/>
      <c r="D228" s="29"/>
      <c r="E228" s="29"/>
      <c r="F228" s="29"/>
      <c r="G228" s="29"/>
      <c r="H228" s="29"/>
    </row>
    <row r="229" spans="2:8">
      <c r="B229" s="29"/>
      <c r="C229" s="29"/>
      <c r="D229" s="29"/>
      <c r="E229" s="29"/>
      <c r="F229" s="29"/>
      <c r="G229" s="29"/>
      <c r="H229" s="29"/>
    </row>
    <row r="230" spans="2:8">
      <c r="B230" s="29"/>
      <c r="C230" s="29"/>
      <c r="D230" s="29"/>
      <c r="E230" s="29"/>
      <c r="F230" s="29"/>
      <c r="G230" s="29"/>
      <c r="H230" s="29"/>
    </row>
    <row r="231" spans="2:8">
      <c r="B231" s="29"/>
      <c r="C231" s="29"/>
      <c r="D231" s="29"/>
      <c r="E231" s="29"/>
      <c r="F231" s="29"/>
      <c r="G231" s="29"/>
      <c r="H231" s="29"/>
    </row>
    <row r="232" spans="2:8">
      <c r="B232" s="29"/>
      <c r="C232" s="29"/>
      <c r="D232" s="29"/>
      <c r="E232" s="29"/>
      <c r="F232" s="29"/>
      <c r="G232" s="29"/>
      <c r="H232" s="29"/>
    </row>
    <row r="233" spans="2:8">
      <c r="B233" s="29"/>
      <c r="C233" s="29"/>
      <c r="D233" s="29"/>
      <c r="E233" s="29"/>
      <c r="F233" s="29"/>
      <c r="G233" s="29"/>
      <c r="H233" s="29"/>
    </row>
    <row r="234" spans="2:8">
      <c r="B234" s="29"/>
      <c r="C234" s="29"/>
      <c r="D234" s="29"/>
      <c r="E234" s="29"/>
      <c r="F234" s="29"/>
      <c r="G234" s="29"/>
      <c r="H234" s="29"/>
    </row>
    <row r="235" spans="2:8">
      <c r="B235" s="29"/>
      <c r="C235" s="29"/>
      <c r="D235" s="29"/>
      <c r="E235" s="29"/>
      <c r="F235" s="29"/>
      <c r="G235" s="29"/>
      <c r="H235" s="29"/>
    </row>
    <row r="236" spans="2:8">
      <c r="B236" s="29"/>
      <c r="C236" s="29"/>
      <c r="D236" s="29"/>
      <c r="E236" s="29"/>
      <c r="F236" s="29"/>
      <c r="G236" s="29"/>
      <c r="H236" s="29"/>
    </row>
    <row r="237" spans="2:8">
      <c r="B237" s="29"/>
      <c r="C237" s="29"/>
      <c r="D237" s="29"/>
      <c r="E237" s="29"/>
      <c r="F237" s="29"/>
      <c r="G237" s="29"/>
      <c r="H237" s="29"/>
    </row>
    <row r="238" spans="2:8">
      <c r="B238" s="29"/>
      <c r="C238" s="29"/>
      <c r="D238" s="29"/>
      <c r="E238" s="29"/>
      <c r="F238" s="29"/>
      <c r="G238" s="29"/>
      <c r="H238" s="29"/>
    </row>
    <row r="239" spans="2:8">
      <c r="B239" s="29"/>
      <c r="C239" s="29"/>
      <c r="D239" s="29"/>
      <c r="E239" s="29"/>
      <c r="F239" s="29"/>
      <c r="G239" s="29"/>
      <c r="H239" s="29"/>
    </row>
    <row r="240" spans="2:8">
      <c r="B240" s="29"/>
      <c r="C240" s="29"/>
      <c r="D240" s="29"/>
      <c r="E240" s="29"/>
      <c r="F240" s="29"/>
      <c r="G240" s="29"/>
      <c r="H240" s="29"/>
    </row>
    <row r="241" spans="2:8">
      <c r="B241" s="29"/>
      <c r="C241" s="29"/>
      <c r="D241" s="29"/>
      <c r="E241" s="29"/>
      <c r="F241" s="29"/>
      <c r="G241" s="29"/>
      <c r="H241" s="29"/>
    </row>
    <row r="242" spans="2:8">
      <c r="B242" s="29"/>
      <c r="C242" s="29"/>
      <c r="D242" s="29"/>
      <c r="E242" s="29"/>
      <c r="F242" s="29"/>
      <c r="G242" s="29"/>
      <c r="H242" s="29"/>
    </row>
    <row r="243" spans="2:8">
      <c r="B243" s="29"/>
      <c r="C243" s="29"/>
      <c r="D243" s="29"/>
      <c r="E243" s="29"/>
      <c r="F243" s="29"/>
      <c r="G243" s="29"/>
      <c r="H243" s="29"/>
    </row>
    <row r="244" spans="2:8">
      <c r="B244" s="29"/>
      <c r="C244" s="29"/>
      <c r="D244" s="29"/>
      <c r="E244" s="29"/>
      <c r="F244" s="29"/>
      <c r="G244" s="29"/>
      <c r="H244" s="29"/>
    </row>
    <row r="245" spans="2:8">
      <c r="B245" s="29"/>
      <c r="C245" s="29"/>
      <c r="D245" s="29"/>
      <c r="E245" s="29"/>
      <c r="F245" s="29"/>
      <c r="G245" s="29"/>
      <c r="H245" s="29"/>
    </row>
    <row r="246" spans="2:8">
      <c r="B246" s="29"/>
      <c r="C246" s="29"/>
      <c r="D246" s="29"/>
      <c r="E246" s="29"/>
      <c r="F246" s="29"/>
      <c r="G246" s="29"/>
      <c r="H246" s="29"/>
    </row>
    <row r="247" spans="2:8">
      <c r="B247" s="29"/>
      <c r="C247" s="29"/>
      <c r="D247" s="29"/>
      <c r="E247" s="29"/>
      <c r="F247" s="29"/>
      <c r="G247" s="29"/>
      <c r="H247" s="29"/>
    </row>
    <row r="248" spans="2:8">
      <c r="B248" s="29"/>
      <c r="C248" s="29"/>
      <c r="D248" s="29"/>
      <c r="E248" s="29"/>
      <c r="F248" s="29"/>
      <c r="G248" s="29"/>
      <c r="H248" s="29"/>
    </row>
    <row r="249" spans="2:8">
      <c r="B249" s="29"/>
      <c r="C249" s="29"/>
      <c r="D249" s="29"/>
      <c r="E249" s="29"/>
      <c r="F249" s="29"/>
      <c r="G249" s="29"/>
      <c r="H249" s="29"/>
    </row>
    <row r="250" spans="2:8">
      <c r="B250" s="29"/>
      <c r="C250" s="29"/>
      <c r="D250" s="29"/>
      <c r="E250" s="29"/>
      <c r="F250" s="29"/>
      <c r="G250" s="29"/>
      <c r="H250" s="29"/>
    </row>
    <row r="251" spans="2:8">
      <c r="B251" s="29"/>
      <c r="C251" s="29"/>
      <c r="D251" s="29"/>
      <c r="E251" s="29"/>
      <c r="F251" s="29"/>
      <c r="G251" s="29"/>
      <c r="H251" s="29"/>
    </row>
    <row r="252" spans="2:8">
      <c r="B252" s="29"/>
      <c r="C252" s="29"/>
      <c r="D252" s="29"/>
      <c r="E252" s="29"/>
      <c r="F252" s="29"/>
      <c r="G252" s="29"/>
      <c r="H252" s="29"/>
    </row>
    <row r="253" spans="2:8">
      <c r="B253" s="29"/>
      <c r="C253" s="29"/>
      <c r="D253" s="29"/>
      <c r="E253" s="29"/>
      <c r="F253" s="29"/>
      <c r="G253" s="29"/>
      <c r="H253" s="29"/>
    </row>
    <row r="254" spans="2:8">
      <c r="B254" s="29"/>
      <c r="C254" s="29"/>
      <c r="D254" s="29"/>
      <c r="E254" s="29"/>
      <c r="F254" s="29"/>
      <c r="G254" s="29"/>
      <c r="H254" s="29"/>
    </row>
    <row r="255" spans="2:8">
      <c r="B255" s="29"/>
      <c r="C255" s="29"/>
      <c r="D255" s="29"/>
      <c r="E255" s="29"/>
      <c r="F255" s="29"/>
      <c r="G255" s="29"/>
      <c r="H255" s="29"/>
    </row>
    <row r="256" spans="2:8">
      <c r="B256" s="29"/>
      <c r="C256" s="29"/>
      <c r="D256" s="29"/>
      <c r="E256" s="29"/>
      <c r="F256" s="29"/>
      <c r="G256" s="29"/>
      <c r="H256" s="29"/>
    </row>
    <row r="257" spans="2:8">
      <c r="B257" s="29"/>
      <c r="C257" s="29"/>
      <c r="D257" s="29"/>
      <c r="E257" s="29"/>
      <c r="F257" s="29"/>
      <c r="G257" s="29"/>
      <c r="H257" s="29"/>
    </row>
    <row r="258" spans="2:8">
      <c r="B258" s="29"/>
      <c r="C258" s="29"/>
      <c r="D258" s="29"/>
      <c r="E258" s="29"/>
      <c r="F258" s="29"/>
      <c r="G258" s="29"/>
      <c r="H258" s="29"/>
    </row>
    <row r="259" spans="2:8">
      <c r="B259" s="29"/>
      <c r="C259" s="29"/>
      <c r="D259" s="29"/>
      <c r="E259" s="29"/>
      <c r="F259" s="29"/>
      <c r="G259" s="29"/>
      <c r="H259" s="29"/>
    </row>
    <row r="260" spans="2:8">
      <c r="B260" s="29"/>
      <c r="C260" s="29"/>
      <c r="D260" s="29"/>
      <c r="E260" s="29"/>
      <c r="F260" s="29"/>
      <c r="G260" s="29"/>
      <c r="H260" s="29"/>
    </row>
    <row r="261" spans="2:8">
      <c r="B261" s="29"/>
      <c r="C261" s="29"/>
      <c r="D261" s="29"/>
      <c r="E261" s="29"/>
      <c r="F261" s="29"/>
      <c r="G261" s="29"/>
      <c r="H261" s="29"/>
    </row>
    <row r="262" spans="2:8">
      <c r="B262" s="29"/>
      <c r="C262" s="29"/>
      <c r="D262" s="29"/>
      <c r="E262" s="29"/>
      <c r="F262" s="29"/>
      <c r="G262" s="29"/>
      <c r="H262" s="29"/>
    </row>
    <row r="263" spans="2:8">
      <c r="B263" s="29"/>
      <c r="C263" s="29"/>
      <c r="D263" s="29"/>
      <c r="E263" s="29"/>
      <c r="F263" s="29"/>
      <c r="G263" s="29"/>
      <c r="H263" s="29"/>
    </row>
    <row r="264" spans="2:8">
      <c r="B264" s="29"/>
      <c r="C264" s="29"/>
      <c r="D264" s="29"/>
      <c r="E264" s="29"/>
      <c r="F264" s="29"/>
      <c r="G264" s="29"/>
      <c r="H264" s="29"/>
    </row>
    <row r="265" spans="2:8">
      <c r="B265" s="29"/>
      <c r="C265" s="29"/>
      <c r="D265" s="29"/>
      <c r="E265" s="29"/>
      <c r="F265" s="29"/>
      <c r="G265" s="29"/>
      <c r="H265" s="29"/>
    </row>
    <row r="266" spans="2:8">
      <c r="B266" s="29"/>
      <c r="C266" s="29"/>
      <c r="D266" s="29"/>
      <c r="E266" s="29"/>
      <c r="F266" s="29"/>
      <c r="G266" s="29"/>
      <c r="H266" s="29"/>
    </row>
    <row r="267" spans="2:8">
      <c r="B267" s="29"/>
      <c r="C267" s="29"/>
      <c r="D267" s="29"/>
      <c r="E267" s="29"/>
      <c r="F267" s="29"/>
      <c r="G267" s="29"/>
      <c r="H267" s="29"/>
    </row>
    <row r="268" spans="2:8">
      <c r="B268" s="29"/>
      <c r="C268" s="29"/>
      <c r="D268" s="29"/>
      <c r="E268" s="29"/>
      <c r="F268" s="29"/>
      <c r="G268" s="29"/>
      <c r="H268" s="29"/>
    </row>
    <row r="269" spans="2:8">
      <c r="B269" s="29"/>
      <c r="C269" s="29"/>
      <c r="D269" s="29"/>
      <c r="E269" s="29"/>
      <c r="F269" s="29"/>
      <c r="G269" s="29"/>
      <c r="H269" s="29"/>
    </row>
    <row r="270" spans="2:8">
      <c r="B270" s="29"/>
      <c r="C270" s="29"/>
      <c r="D270" s="29"/>
      <c r="E270" s="29"/>
      <c r="F270" s="29"/>
      <c r="G270" s="29"/>
      <c r="H270" s="29"/>
    </row>
    <row r="271" spans="2:8">
      <c r="B271" s="29"/>
      <c r="C271" s="29"/>
      <c r="D271" s="29"/>
      <c r="E271" s="29"/>
      <c r="F271" s="29"/>
      <c r="G271" s="29"/>
      <c r="H271" s="29"/>
    </row>
    <row r="272" spans="2:8">
      <c r="B272" s="29"/>
      <c r="C272" s="29"/>
      <c r="D272" s="29"/>
      <c r="E272" s="29"/>
      <c r="F272" s="29"/>
      <c r="G272" s="29"/>
      <c r="H272" s="29"/>
    </row>
    <row r="273" spans="2:8">
      <c r="B273" s="29"/>
      <c r="C273" s="29"/>
      <c r="D273" s="29"/>
      <c r="E273" s="29"/>
      <c r="F273" s="29"/>
      <c r="G273" s="29"/>
      <c r="H273" s="29"/>
    </row>
    <row r="274" spans="2:8">
      <c r="B274" s="29"/>
      <c r="C274" s="29"/>
      <c r="D274" s="29"/>
      <c r="E274" s="29"/>
      <c r="F274" s="29"/>
      <c r="G274" s="29"/>
      <c r="H274" s="29"/>
    </row>
    <row r="275" spans="2:8">
      <c r="B275" s="29"/>
      <c r="C275" s="29"/>
      <c r="D275" s="29"/>
      <c r="E275" s="29"/>
      <c r="F275" s="29"/>
      <c r="G275" s="29"/>
      <c r="H275" s="29"/>
    </row>
    <row r="276" spans="2:8">
      <c r="B276" s="29"/>
      <c r="C276" s="29"/>
      <c r="D276" s="29"/>
      <c r="E276" s="29"/>
      <c r="F276" s="29"/>
      <c r="G276" s="29"/>
      <c r="H276" s="29"/>
    </row>
    <row r="277" spans="2:8">
      <c r="B277" s="29"/>
      <c r="C277" s="29"/>
      <c r="D277" s="29"/>
      <c r="E277" s="29"/>
      <c r="F277" s="29"/>
      <c r="G277" s="29"/>
      <c r="H277" s="29"/>
    </row>
    <row r="278" spans="2:8">
      <c r="B278" s="29"/>
      <c r="C278" s="29"/>
      <c r="D278" s="29"/>
      <c r="E278" s="29"/>
      <c r="F278" s="29"/>
      <c r="G278" s="29"/>
      <c r="H278" s="29"/>
    </row>
    <row r="279" spans="2:8">
      <c r="B279" s="29"/>
      <c r="C279" s="29"/>
      <c r="D279" s="29"/>
      <c r="E279" s="29"/>
      <c r="F279" s="29"/>
      <c r="G279" s="29"/>
      <c r="H279" s="29"/>
    </row>
    <row r="280" spans="2:8">
      <c r="B280" s="29"/>
      <c r="C280" s="29"/>
      <c r="D280" s="29"/>
      <c r="E280" s="29"/>
      <c r="F280" s="29"/>
      <c r="G280" s="29"/>
      <c r="H280" s="29"/>
    </row>
    <row r="281" spans="2:8">
      <c r="B281" s="29"/>
      <c r="C281" s="29"/>
      <c r="D281" s="29"/>
      <c r="E281" s="29"/>
      <c r="F281" s="29"/>
      <c r="G281" s="29"/>
      <c r="H281" s="29"/>
    </row>
    <row r="282" spans="2:8">
      <c r="B282" s="29"/>
      <c r="C282" s="29"/>
      <c r="D282" s="29"/>
      <c r="E282" s="29"/>
      <c r="F282" s="29"/>
      <c r="G282" s="29"/>
      <c r="H282" s="29"/>
    </row>
    <row r="283" spans="2:8">
      <c r="B283" s="29"/>
      <c r="C283" s="29"/>
      <c r="D283" s="29"/>
      <c r="E283" s="29"/>
      <c r="F283" s="29"/>
      <c r="G283" s="29"/>
      <c r="H283" s="29"/>
    </row>
    <row r="284" spans="2:8">
      <c r="B284" s="29"/>
      <c r="C284" s="29"/>
      <c r="D284" s="29"/>
      <c r="E284" s="29"/>
      <c r="F284" s="29"/>
      <c r="G284" s="29"/>
      <c r="H284" s="29"/>
    </row>
    <row r="285" spans="2:8">
      <c r="B285" s="29"/>
      <c r="C285" s="29"/>
      <c r="D285" s="29"/>
      <c r="E285" s="29"/>
      <c r="F285" s="29"/>
      <c r="G285" s="29"/>
      <c r="H285" s="29"/>
    </row>
    <row r="286" spans="2:8">
      <c r="B286" s="29"/>
      <c r="C286" s="29"/>
      <c r="D286" s="29"/>
      <c r="E286" s="29"/>
      <c r="F286" s="29"/>
      <c r="G286" s="29"/>
      <c r="H286" s="29"/>
    </row>
    <row r="287" spans="2:8">
      <c r="B287" s="29"/>
      <c r="C287" s="29"/>
      <c r="D287" s="29"/>
      <c r="E287" s="29"/>
      <c r="F287" s="29"/>
      <c r="G287" s="29"/>
      <c r="H287" s="29"/>
    </row>
    <row r="288" spans="2:8">
      <c r="B288" s="29"/>
      <c r="C288" s="29"/>
      <c r="D288" s="29"/>
      <c r="E288" s="29"/>
      <c r="F288" s="29"/>
      <c r="G288" s="29"/>
      <c r="H288" s="29"/>
    </row>
    <row r="289" spans="2:8">
      <c r="B289" s="29"/>
      <c r="C289" s="29"/>
      <c r="D289" s="29"/>
      <c r="E289" s="29"/>
      <c r="F289" s="29"/>
      <c r="G289" s="29"/>
      <c r="H289" s="29"/>
    </row>
    <row r="290" spans="2:8">
      <c r="B290" s="29"/>
      <c r="C290" s="29"/>
      <c r="D290" s="29"/>
      <c r="E290" s="29"/>
      <c r="F290" s="29"/>
      <c r="G290" s="29"/>
      <c r="H290" s="29"/>
    </row>
    <row r="291" spans="2:8">
      <c r="B291" s="29"/>
      <c r="C291" s="29"/>
      <c r="D291" s="29"/>
      <c r="E291" s="29"/>
      <c r="F291" s="29"/>
      <c r="G291" s="29"/>
      <c r="H291" s="29"/>
    </row>
    <row r="292" spans="2:8">
      <c r="B292" s="29"/>
      <c r="C292" s="29"/>
      <c r="D292" s="29"/>
      <c r="E292" s="29"/>
      <c r="F292" s="29"/>
      <c r="G292" s="29"/>
      <c r="H292" s="29"/>
    </row>
    <row r="293" spans="2:8">
      <c r="B293" s="29"/>
      <c r="C293" s="29"/>
      <c r="D293" s="29"/>
      <c r="E293" s="29"/>
      <c r="F293" s="29"/>
      <c r="G293" s="29"/>
      <c r="H293" s="29"/>
    </row>
    <row r="294" spans="2:8">
      <c r="B294" s="29"/>
      <c r="C294" s="29"/>
      <c r="D294" s="29"/>
      <c r="E294" s="29"/>
      <c r="F294" s="29"/>
      <c r="G294" s="29"/>
      <c r="H294" s="29"/>
    </row>
    <row r="295" spans="2:8">
      <c r="B295" s="29" t="s">
        <v>80</v>
      </c>
      <c r="C295" s="29"/>
      <c r="D295" s="29"/>
      <c r="E295" s="29"/>
      <c r="F295" s="29"/>
      <c r="G295" s="29"/>
      <c r="H295" s="29"/>
    </row>
  </sheetData>
  <sheetProtection sheet="1" objects="1" scenarios="1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56"/>
  <sheetViews>
    <sheetView zoomScaleNormal="100" workbookViewId="0">
      <selection activeCell="C44" sqref="C44"/>
    </sheetView>
  </sheetViews>
  <sheetFormatPr defaultRowHeight="15"/>
  <cols>
    <col min="1" max="1" width="26" customWidth="1"/>
    <col min="2" max="2" width="20.42578125" bestFit="1" customWidth="1"/>
    <col min="3" max="3" width="69.5703125" bestFit="1" customWidth="1"/>
    <col min="4" max="4" width="7.85546875" bestFit="1" customWidth="1"/>
    <col min="5" max="5" width="13.5703125" bestFit="1" customWidth="1"/>
    <col min="6" max="6" width="11.7109375" bestFit="1" customWidth="1"/>
    <col min="7" max="7" width="14" bestFit="1" customWidth="1"/>
    <col min="9" max="9" width="15.140625" customWidth="1"/>
    <col min="10" max="10" width="9.7109375" bestFit="1" customWidth="1"/>
  </cols>
  <sheetData>
    <row r="1" spans="1:10" ht="15.75" thickBot="1">
      <c r="A1" s="46" t="s">
        <v>51</v>
      </c>
      <c r="B1" s="47" t="s">
        <v>4</v>
      </c>
      <c r="C1" s="48" t="s">
        <v>1</v>
      </c>
      <c r="D1" s="4"/>
      <c r="E1" s="4"/>
      <c r="F1" s="4"/>
      <c r="G1" s="4"/>
      <c r="J1" s="1">
        <f ca="1">TODAY()</f>
        <v>41346</v>
      </c>
    </row>
    <row r="2" spans="1:10">
      <c r="A2" s="36" t="s">
        <v>167</v>
      </c>
      <c r="B2" s="49" t="s">
        <v>7</v>
      </c>
      <c r="C2" s="50" t="s">
        <v>140</v>
      </c>
      <c r="F2" s="2"/>
    </row>
    <row r="3" spans="1:10">
      <c r="A3" s="36" t="s">
        <v>168</v>
      </c>
      <c r="B3" s="49" t="s">
        <v>6</v>
      </c>
      <c r="C3" s="50" t="s">
        <v>138</v>
      </c>
      <c r="F3" s="2"/>
    </row>
    <row r="4" spans="1:10">
      <c r="A4" s="36" t="s">
        <v>169</v>
      </c>
      <c r="B4" s="49" t="s">
        <v>9</v>
      </c>
      <c r="C4" s="50" t="s">
        <v>30</v>
      </c>
      <c r="E4" s="3"/>
      <c r="F4" s="2"/>
    </row>
    <row r="5" spans="1:10">
      <c r="A5" s="36" t="s">
        <v>196</v>
      </c>
      <c r="B5" s="49" t="s">
        <v>143</v>
      </c>
      <c r="C5" s="50" t="s">
        <v>31</v>
      </c>
      <c r="F5" s="2"/>
    </row>
    <row r="6" spans="1:10">
      <c r="A6" s="36" t="s">
        <v>197</v>
      </c>
      <c r="B6" s="49" t="s">
        <v>141</v>
      </c>
      <c r="C6" s="50" t="s">
        <v>8</v>
      </c>
      <c r="F6" s="2"/>
    </row>
    <row r="7" spans="1:10">
      <c r="A7" s="36" t="s">
        <v>170</v>
      </c>
      <c r="B7" s="49" t="s">
        <v>155</v>
      </c>
      <c r="C7" s="50" t="s">
        <v>156</v>
      </c>
      <c r="F7" s="2"/>
    </row>
    <row r="8" spans="1:10">
      <c r="A8" s="36" t="s">
        <v>171</v>
      </c>
      <c r="B8" s="49" t="s">
        <v>45</v>
      </c>
      <c r="C8" s="50" t="s">
        <v>25</v>
      </c>
      <c r="F8" s="2"/>
    </row>
    <row r="9" spans="1:10">
      <c r="A9" s="36" t="s">
        <v>172</v>
      </c>
      <c r="B9" s="49" t="s">
        <v>10</v>
      </c>
      <c r="C9" s="50" t="s">
        <v>26</v>
      </c>
      <c r="F9" s="2"/>
    </row>
    <row r="10" spans="1:10">
      <c r="A10" s="36" t="s">
        <v>198</v>
      </c>
      <c r="B10" s="49" t="s">
        <v>11</v>
      </c>
      <c r="C10" s="50" t="s">
        <v>32</v>
      </c>
      <c r="F10" s="2"/>
    </row>
    <row r="11" spans="1:10">
      <c r="A11" s="36" t="s">
        <v>173</v>
      </c>
      <c r="B11" s="49" t="s">
        <v>136</v>
      </c>
      <c r="C11" s="50" t="s">
        <v>40</v>
      </c>
      <c r="F11" s="2"/>
    </row>
    <row r="12" spans="1:10">
      <c r="A12" s="36" t="s">
        <v>135</v>
      </c>
      <c r="B12" s="53" t="s">
        <v>166</v>
      </c>
      <c r="C12" s="50" t="s">
        <v>28</v>
      </c>
      <c r="F12" s="2"/>
    </row>
    <row r="13" spans="1:10">
      <c r="A13" s="36" t="s">
        <v>52</v>
      </c>
      <c r="B13" s="49" t="s">
        <v>46</v>
      </c>
      <c r="C13" s="50" t="s">
        <v>34</v>
      </c>
      <c r="F13" s="2"/>
    </row>
    <row r="14" spans="1:10">
      <c r="A14" s="36" t="s">
        <v>137</v>
      </c>
      <c r="B14" s="49" t="s">
        <v>145</v>
      </c>
      <c r="C14" s="50" t="s">
        <v>146</v>
      </c>
      <c r="F14" s="2"/>
    </row>
    <row r="15" spans="1:10">
      <c r="A15" s="36" t="s">
        <v>174</v>
      </c>
      <c r="B15" s="49" t="s">
        <v>162</v>
      </c>
      <c r="C15" s="50" t="s">
        <v>39</v>
      </c>
      <c r="F15" s="2"/>
    </row>
    <row r="16" spans="1:10">
      <c r="A16" s="36" t="s">
        <v>53</v>
      </c>
      <c r="B16" s="49" t="s">
        <v>47</v>
      </c>
      <c r="C16" s="50" t="s">
        <v>27</v>
      </c>
      <c r="F16" s="2"/>
    </row>
    <row r="17" spans="1:6">
      <c r="A17" s="36" t="s">
        <v>175</v>
      </c>
      <c r="B17" s="49" t="s">
        <v>12</v>
      </c>
      <c r="C17" s="50" t="s">
        <v>147</v>
      </c>
      <c r="F17" s="2"/>
    </row>
    <row r="18" spans="1:6">
      <c r="A18" s="36" t="s">
        <v>176</v>
      </c>
      <c r="B18" s="49" t="s">
        <v>148</v>
      </c>
      <c r="C18" s="50" t="s">
        <v>35</v>
      </c>
      <c r="F18" s="2"/>
    </row>
    <row r="19" spans="1:6">
      <c r="A19" s="36" t="s">
        <v>13</v>
      </c>
      <c r="B19" s="49" t="s">
        <v>13</v>
      </c>
      <c r="C19" s="50" t="s">
        <v>149</v>
      </c>
      <c r="F19" s="2"/>
    </row>
    <row r="20" spans="1:6">
      <c r="A20" s="36" t="s">
        <v>199</v>
      </c>
      <c r="B20" s="49" t="s">
        <v>14</v>
      </c>
      <c r="C20" s="50" t="s">
        <v>150</v>
      </c>
      <c r="F20" s="2"/>
    </row>
    <row r="21" spans="1:6">
      <c r="A21" s="36" t="s">
        <v>177</v>
      </c>
      <c r="B21" s="49" t="s">
        <v>160</v>
      </c>
      <c r="C21" s="50" t="s">
        <v>161</v>
      </c>
      <c r="F21" s="2"/>
    </row>
    <row r="22" spans="1:6">
      <c r="A22" s="36" t="s">
        <v>178</v>
      </c>
      <c r="B22" s="49" t="s">
        <v>15</v>
      </c>
      <c r="C22" s="50" t="s">
        <v>36</v>
      </c>
      <c r="F22" s="2"/>
    </row>
    <row r="23" spans="1:6">
      <c r="A23" s="36" t="s">
        <v>179</v>
      </c>
      <c r="B23" s="49" t="s">
        <v>16</v>
      </c>
      <c r="C23" s="50" t="s">
        <v>29</v>
      </c>
      <c r="F23" s="2"/>
    </row>
    <row r="24" spans="1:6">
      <c r="A24" s="36" t="s">
        <v>180</v>
      </c>
      <c r="B24" s="49" t="s">
        <v>48</v>
      </c>
      <c r="C24" s="50" t="s">
        <v>159</v>
      </c>
      <c r="F24" s="2"/>
    </row>
    <row r="25" spans="1:6">
      <c r="A25" s="36" t="s">
        <v>181</v>
      </c>
      <c r="B25" s="49" t="s">
        <v>17</v>
      </c>
      <c r="C25" s="50" t="s">
        <v>37</v>
      </c>
      <c r="F25" s="2"/>
    </row>
    <row r="26" spans="1:6">
      <c r="A26" s="36" t="s">
        <v>182</v>
      </c>
      <c r="B26" s="49" t="s">
        <v>49</v>
      </c>
      <c r="C26" s="50" t="s">
        <v>38</v>
      </c>
      <c r="F26" s="2"/>
    </row>
    <row r="27" spans="1:6">
      <c r="A27" s="36" t="s">
        <v>183</v>
      </c>
      <c r="B27" s="49" t="s">
        <v>142</v>
      </c>
      <c r="C27" s="50" t="s">
        <v>139</v>
      </c>
      <c r="F27" s="2"/>
    </row>
    <row r="28" spans="1:6">
      <c r="A28" s="36" t="s">
        <v>203</v>
      </c>
      <c r="B28" s="49" t="s">
        <v>204</v>
      </c>
      <c r="C28" s="50" t="s">
        <v>205</v>
      </c>
      <c r="F28" s="2"/>
    </row>
    <row r="29" spans="1:6">
      <c r="A29" s="36" t="s">
        <v>184</v>
      </c>
      <c r="B29" s="49" t="s">
        <v>18</v>
      </c>
      <c r="C29" s="50" t="s">
        <v>163</v>
      </c>
      <c r="F29" s="2"/>
    </row>
    <row r="30" spans="1:6">
      <c r="A30" s="36" t="s">
        <v>185</v>
      </c>
      <c r="B30" s="49" t="s">
        <v>19</v>
      </c>
      <c r="C30" s="50" t="s">
        <v>40</v>
      </c>
      <c r="F30" s="2"/>
    </row>
    <row r="31" spans="1:6">
      <c r="A31" s="36" t="s">
        <v>186</v>
      </c>
      <c r="B31" s="49" t="s">
        <v>20</v>
      </c>
      <c r="C31" s="50" t="s">
        <v>41</v>
      </c>
      <c r="F31" s="2"/>
    </row>
    <row r="32" spans="1:6">
      <c r="A32" s="36" t="s">
        <v>200</v>
      </c>
      <c r="B32" s="49" t="s">
        <v>201</v>
      </c>
      <c r="C32" s="50" t="s">
        <v>202</v>
      </c>
      <c r="F32" s="2"/>
    </row>
    <row r="33" spans="1:6">
      <c r="A33" s="36" t="s">
        <v>187</v>
      </c>
      <c r="B33" s="49" t="s">
        <v>21</v>
      </c>
      <c r="C33" s="50" t="s">
        <v>8</v>
      </c>
      <c r="F33" s="2"/>
    </row>
    <row r="34" spans="1:6">
      <c r="A34" s="36" t="s">
        <v>188</v>
      </c>
      <c r="B34" s="49" t="s">
        <v>22</v>
      </c>
      <c r="C34" s="50" t="s">
        <v>42</v>
      </c>
      <c r="F34" s="2"/>
    </row>
    <row r="35" spans="1:6">
      <c r="A35" s="36" t="s">
        <v>189</v>
      </c>
      <c r="B35" s="49" t="s">
        <v>157</v>
      </c>
      <c r="C35" s="50" t="s">
        <v>158</v>
      </c>
      <c r="F35" s="2"/>
    </row>
    <row r="36" spans="1:6">
      <c r="A36" s="36" t="s">
        <v>190</v>
      </c>
      <c r="B36" s="49" t="s">
        <v>151</v>
      </c>
      <c r="C36" s="50" t="s">
        <v>152</v>
      </c>
      <c r="F36" s="2"/>
    </row>
    <row r="37" spans="1:6">
      <c r="A37" s="36" t="s">
        <v>191</v>
      </c>
      <c r="B37" s="49" t="s">
        <v>153</v>
      </c>
      <c r="C37" s="50" t="s">
        <v>154</v>
      </c>
      <c r="F37" s="2"/>
    </row>
    <row r="38" spans="1:6">
      <c r="A38" s="36" t="s">
        <v>192</v>
      </c>
      <c r="B38" s="49" t="s">
        <v>144</v>
      </c>
      <c r="C38" s="50" t="s">
        <v>33</v>
      </c>
      <c r="F38" s="2"/>
    </row>
    <row r="39" spans="1:6">
      <c r="A39" s="36" t="s">
        <v>193</v>
      </c>
      <c r="B39" s="49" t="s">
        <v>23</v>
      </c>
      <c r="C39" s="50" t="s">
        <v>43</v>
      </c>
      <c r="F39" s="2"/>
    </row>
    <row r="40" spans="1:6">
      <c r="A40" s="36" t="s">
        <v>194</v>
      </c>
      <c r="B40" s="49" t="s">
        <v>24</v>
      </c>
      <c r="C40" s="50" t="s">
        <v>44</v>
      </c>
      <c r="F40" s="2"/>
    </row>
    <row r="41" spans="1:6">
      <c r="A41" s="36" t="s">
        <v>195</v>
      </c>
      <c r="B41" s="49" t="s">
        <v>164</v>
      </c>
      <c r="C41" s="50" t="s">
        <v>165</v>
      </c>
      <c r="F41" s="2"/>
    </row>
    <row r="42" spans="1:6" ht="15.75" thickBot="1">
      <c r="A42" s="36"/>
      <c r="B42" s="51"/>
      <c r="C42" s="52"/>
      <c r="F42" s="2"/>
    </row>
    <row r="43" spans="1:6">
      <c r="A43" s="36"/>
      <c r="B43" s="22"/>
      <c r="C43" s="13"/>
      <c r="F43" s="2"/>
    </row>
    <row r="44" spans="1:6">
      <c r="A44" s="36"/>
      <c r="B44" s="22"/>
      <c r="C44" s="13"/>
      <c r="F44" s="2"/>
    </row>
    <row r="45" spans="1:6">
      <c r="A45" s="36"/>
      <c r="B45" s="22"/>
      <c r="C45" s="13"/>
    </row>
    <row r="46" spans="1:6">
      <c r="A46" s="36"/>
      <c r="B46" s="22"/>
      <c r="C46" s="13"/>
    </row>
    <row r="47" spans="1:6">
      <c r="A47" s="36"/>
      <c r="B47" s="22"/>
      <c r="C47" s="13"/>
    </row>
    <row r="48" spans="1:6">
      <c r="A48" s="36"/>
      <c r="B48" s="22"/>
      <c r="C48" s="13"/>
    </row>
    <row r="49" spans="1:3">
      <c r="A49" s="36"/>
      <c r="B49" s="22"/>
      <c r="C49" s="13"/>
    </row>
    <row r="50" spans="1:3">
      <c r="A50" s="36"/>
      <c r="B50" s="22"/>
      <c r="C50" s="13"/>
    </row>
    <row r="51" spans="1:3">
      <c r="A51" s="36"/>
      <c r="B51" s="22"/>
      <c r="C51" s="13"/>
    </row>
    <row r="52" spans="1:3">
      <c r="A52" s="36"/>
      <c r="B52" s="22"/>
      <c r="C52" s="13"/>
    </row>
    <row r="53" spans="1:3">
      <c r="A53" s="36"/>
      <c r="B53" s="22"/>
      <c r="C53" s="13"/>
    </row>
    <row r="54" spans="1:3">
      <c r="A54" s="36"/>
      <c r="B54" s="22"/>
      <c r="C54" s="13"/>
    </row>
    <row r="55" spans="1:3">
      <c r="A55" s="36"/>
      <c r="B55" s="22"/>
      <c r="C55" s="13"/>
    </row>
    <row r="56" spans="1:3" ht="15.75" thickBot="1">
      <c r="A56" s="43"/>
      <c r="B56" s="34"/>
      <c r="C56" s="17"/>
    </row>
  </sheetData>
  <sortState ref="A2:C39">
    <sortCondition ref="A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4"/>
  <sheetViews>
    <sheetView workbookViewId="0">
      <selection activeCell="B4" sqref="B4:G4"/>
    </sheetView>
  </sheetViews>
  <sheetFormatPr defaultRowHeight="15"/>
  <cols>
    <col min="1" max="1" width="4.7109375" bestFit="1" customWidth="1"/>
    <col min="2" max="2" width="11.5703125" bestFit="1" customWidth="1"/>
    <col min="3" max="3" width="64.140625" bestFit="1" customWidth="1"/>
    <col min="4" max="4" width="7.85546875" bestFit="1" customWidth="1"/>
    <col min="5" max="5" width="13.5703125" bestFit="1" customWidth="1"/>
    <col min="6" max="6" width="11.7109375" bestFit="1" customWidth="1"/>
    <col min="7" max="7" width="14" bestFit="1" customWidth="1"/>
  </cols>
  <sheetData>
    <row r="1" spans="1:7" ht="15.75" thickBot="1">
      <c r="A1" s="44" t="s">
        <v>83</v>
      </c>
      <c r="B1" s="24" t="s">
        <v>4</v>
      </c>
      <c r="C1" s="24" t="s">
        <v>1</v>
      </c>
      <c r="D1" s="24" t="s">
        <v>0</v>
      </c>
      <c r="E1" s="24" t="s">
        <v>5</v>
      </c>
      <c r="F1" s="24" t="s">
        <v>2</v>
      </c>
      <c r="G1" s="45" t="s">
        <v>3</v>
      </c>
    </row>
    <row r="2" spans="1:7">
      <c r="A2">
        <v>1</v>
      </c>
      <c r="B2" t="s">
        <v>157</v>
      </c>
      <c r="C2" t="s">
        <v>158</v>
      </c>
      <c r="D2" t="s">
        <v>206</v>
      </c>
      <c r="E2" t="s">
        <v>57</v>
      </c>
      <c r="F2" t="s">
        <v>207</v>
      </c>
      <c r="G2" t="s">
        <v>134</v>
      </c>
    </row>
    <row r="3" spans="1:7">
      <c r="A3">
        <v>2</v>
      </c>
      <c r="B3" t="s">
        <v>157</v>
      </c>
      <c r="C3" t="s">
        <v>158</v>
      </c>
      <c r="D3" t="s">
        <v>206</v>
      </c>
      <c r="E3" t="s">
        <v>57</v>
      </c>
      <c r="F3" t="s">
        <v>207</v>
      </c>
      <c r="G3" t="s">
        <v>134</v>
      </c>
    </row>
    <row r="4" spans="1:7">
      <c r="A4">
        <v>3</v>
      </c>
      <c r="B4" t="s">
        <v>157</v>
      </c>
      <c r="C4" t="s">
        <v>158</v>
      </c>
      <c r="D4" t="s">
        <v>206</v>
      </c>
      <c r="E4" t="s">
        <v>57</v>
      </c>
      <c r="F4" t="s">
        <v>207</v>
      </c>
      <c r="G4" t="s">
        <v>134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Media Labels</vt:lpstr>
      <vt:lpstr>Reference</vt:lpstr>
      <vt:lpstr>Print Sheet</vt:lpstr>
    </vt:vector>
  </TitlesOfParts>
  <Company>BioReliance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bryan.neva</dc:creator>
  <cp:lastModifiedBy>bryan.neva</cp:lastModifiedBy>
  <cp:lastPrinted>2012-06-20T17:53:50Z</cp:lastPrinted>
  <dcterms:created xsi:type="dcterms:W3CDTF">2012-05-17T19:44:09Z</dcterms:created>
  <dcterms:modified xsi:type="dcterms:W3CDTF">2013-03-13T18:55:00Z</dcterms:modified>
</cp:coreProperties>
</file>